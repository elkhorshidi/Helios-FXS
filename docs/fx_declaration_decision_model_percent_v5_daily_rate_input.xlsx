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_Rates" sheetId="2" r:id="rId6"/>
    <sheet state="visible" name="Fees_Settings" sheetId="3" r:id="rId7"/>
    <sheet state="visible" name="Conversion_Matrix" sheetId="4" r:id="rId8"/>
    <sheet state="visible" name="Route_Comparison" sheetId="5" r:id="rId9"/>
    <sheet state="visible" name="Notes" sheetId="6" r:id="rId10"/>
    <sheet state="visible" name="Daily_Report" sheetId="7" r:id="rId11"/>
    <sheet state="visible" name="History" sheetId="8" r:id="rId12"/>
    <sheet state="visible" name="Daily_Rate_Input" sheetId="9" r:id="rId13"/>
  </sheets>
  <definedNames/>
  <calcPr/>
</workbook>
</file>

<file path=xl/sharedStrings.xml><?xml version="1.0" encoding="utf-8"?>
<sst xmlns="http://schemas.openxmlformats.org/spreadsheetml/2006/main" count="318" uniqueCount="158">
  <si>
    <t>FX Declaration Decision Dashboard</t>
  </si>
  <si>
    <t>Input Panel</t>
  </si>
  <si>
    <t>Decision Summary</t>
  </si>
  <si>
    <t>Date</t>
  </si>
  <si>
    <t>Best Route</t>
  </si>
  <si>
    <t>Use Daily_Report to compare all origin currencies at once. Use History to paste daily snapshots for trend tracking.</t>
  </si>
  <si>
    <t>Amount USD</t>
  </si>
  <si>
    <t>Best Cost %</t>
  </si>
  <si>
    <t>Origin Currency</t>
  </si>
  <si>
    <t>USD_Istanbul</t>
  </si>
  <si>
    <t>Cost Amount USD</t>
  </si>
  <si>
    <t>No-FX Fee %</t>
  </si>
  <si>
    <t>Second Best Cost %</t>
  </si>
  <si>
    <t>Dubai Transfer Fee %</t>
  </si>
  <si>
    <t>Saving vs Second Best %</t>
  </si>
  <si>
    <t>Istanbul Direct Fee %</t>
  </si>
  <si>
    <t>Notes</t>
  </si>
  <si>
    <t>Manual fees are percent-based. Example: enter 0.70% not 7. Origin codes: USD_Istanbul, AED_Dubai, etc.</t>
  </si>
  <si>
    <t>Use Manual Origin→Tehran?</t>
  </si>
  <si>
    <t>No</t>
  </si>
  <si>
    <t>Manual Origin→Tehran Cost %</t>
  </si>
  <si>
    <t>Market</t>
  </si>
  <si>
    <t>Origin Code</t>
  </si>
  <si>
    <t>Origin Label</t>
  </si>
  <si>
    <t>Buy</t>
  </si>
  <si>
    <t>Sell</t>
  </si>
  <si>
    <t>Spread %</t>
  </si>
  <si>
    <t>Use Manual Origin→Dubai?</t>
  </si>
  <si>
    <t>Manual Origin→Dubai Cost %</t>
  </si>
  <si>
    <t>Route ID</t>
  </si>
  <si>
    <t>Route Name</t>
  </si>
  <si>
    <t>Active?</t>
  </si>
  <si>
    <t>Auto Conv %</t>
  </si>
  <si>
    <t>Effective Conv %</t>
  </si>
  <si>
    <t>Fee %</t>
  </si>
  <si>
    <t>Total Cost %</t>
  </si>
  <si>
    <t>Daily AED-Based Market Rates — Auto from Daily_Rate_Input</t>
  </si>
  <si>
    <t>Market_EN</t>
  </si>
  <si>
    <t>Origin_Code</t>
  </si>
  <si>
    <t>Origin_Label_FA</t>
  </si>
  <si>
    <t>Tether</t>
  </si>
  <si>
    <t>USD_Tether</t>
  </si>
  <si>
    <t>دلار تتر</t>
  </si>
  <si>
    <t>Tehran</t>
  </si>
  <si>
    <t>USD_Tehran</t>
  </si>
  <si>
    <t>دلار تهران</t>
  </si>
  <si>
    <t>Istanbul</t>
  </si>
  <si>
    <t>دلار استانبول</t>
  </si>
  <si>
    <t>Sulaymaniyah</t>
  </si>
  <si>
    <t>USD_Sulaymaniyah</t>
  </si>
  <si>
    <t>دلار سلیمانیه</t>
  </si>
  <si>
    <t>Dubai</t>
  </si>
  <si>
    <t>AED_Dubai</t>
  </si>
  <si>
    <t>درهم دوبی</t>
  </si>
  <si>
    <t>Fee Settings &amp; Route Defaults (Percent Inputs)</t>
  </si>
  <si>
    <t>Fee Item</t>
  </si>
  <si>
    <t>Default %</t>
  </si>
  <si>
    <t>Manual Override %</t>
  </si>
  <si>
    <t>Use Manual?</t>
  </si>
  <si>
    <t>Effective %</t>
  </si>
  <si>
    <t>No-FX Declaration Fee</t>
  </si>
  <si>
    <t>Dubai Transfer / Import Fee</t>
  </si>
  <si>
    <t>Istanbul Direct Supplier Fee</t>
  </si>
  <si>
    <t>Conversion Cost Matrix (%)</t>
  </si>
  <si>
    <t>From \ To</t>
  </si>
  <si>
    <t>USD_Dubai</t>
  </si>
  <si>
    <t>Route Comparison Engine (Percent-based)</t>
  </si>
  <si>
    <t>Auto Conversion %</t>
  </si>
  <si>
    <t>Effective Conversion %</t>
  </si>
  <si>
    <t>Fee / Transfer %</t>
  </si>
  <si>
    <t>Action / Notes</t>
  </si>
  <si>
    <t>NO_FX</t>
  </si>
  <si>
    <t>اظهارنامه بدون ارز</t>
  </si>
  <si>
    <t>Origin → USD_Tehran + No-FX declaration</t>
  </si>
  <si>
    <t>DUBAI_FX</t>
  </si>
  <si>
    <t>اظهارنامه با ارز از مسیر دوبی</t>
  </si>
  <si>
    <t>Origin → USD_Dubai + Dubai transfer/import fee</t>
  </si>
  <si>
    <t>IST_DIRECT</t>
  </si>
  <si>
    <t>اظهارنامه با ارز مستقیم استانبول</t>
  </si>
  <si>
    <t>Only active when Origin = USD_Istanbul</t>
  </si>
  <si>
    <t>Model Purpose</t>
  </si>
  <si>
    <t>Origin Naming</t>
  </si>
  <si>
    <t>Use explicit origin codes such as USD_Istanbul, AED_Dubai, USD_Tehran.</t>
  </si>
  <si>
    <t>AED_Dubai Logic</t>
  </si>
  <si>
    <t>When origin is AED_Dubai, conversion to USD_Dubai is not zero; it uses Dubai USD buy/sell spread.</t>
  </si>
  <si>
    <t>No-FX Route</t>
  </si>
  <si>
    <t>Origin → USD_Tehran + No-FX declaration fee.</t>
  </si>
  <si>
    <t>Dubai FX Route</t>
  </si>
  <si>
    <t>Origin → USD_Dubai + Dubai transfer/import fee.</t>
  </si>
  <si>
    <t>Istanbul Direct Route</t>
  </si>
  <si>
    <t>Only active when Origin Currency = USD_Istanbul.</t>
  </si>
  <si>
    <t>Manual Overrides</t>
  </si>
  <si>
    <t>Manual conversion costs and fees must be entered as percentages, e.g. 0.70%.</t>
  </si>
  <si>
    <t>Conversion Formula for USD origins</t>
  </si>
  <si>
    <t>(Destination Sell - Origin Buy) / Origin Buy.</t>
  </si>
  <si>
    <t>Conversion Formula for AED_Dubai origin</t>
  </si>
  <si>
    <t>(Destination Sell - Destination Buy) / Destination Buy.</t>
  </si>
  <si>
    <t>Source</t>
  </si>
  <si>
    <t>Daily market rates are pasted into Daily_Rate_Input. Daily_Rates reads from that input automatically.</t>
  </si>
  <si>
    <t>Daily_Report</t>
  </si>
  <si>
    <t>Compares all origin currencies at once using current Daily_Rates and Fees_Settings. Use this for daily decision-making.</t>
  </si>
  <si>
    <t>History</t>
  </si>
  <si>
    <t>Blank tracking table for daily snapshots. Copy Daily_Report outputs as values after each daily rate update.</t>
  </si>
  <si>
    <t>Origin logic</t>
  </si>
  <si>
    <t>AED_Dubai is treated as dirham origin, so conversion to USD_Tehran or USD_Dubai uses the destination market spread, not zero.</t>
  </si>
  <si>
    <t>Best route logic</t>
  </si>
  <si>
    <t>Best route is the minimum active total cost among No-FX, Dubai route, and Istanbul direct route when active.</t>
  </si>
  <si>
    <t>Manual workflow</t>
  </si>
  <si>
    <t>Paste rate block into Daily_Rate_Input!A5:E9, review Daily_Report, then paste Daily_Report!A17:Y21 as values into History.</t>
  </si>
  <si>
    <t>Arbitrage chat output</t>
  </si>
  <si>
    <t>Use columns: Date | Market | Buy | Sell | Notes. Markets must be exactly: Tether, Tehran, Istanbul, Sulaymaniyah, Dubai.</t>
  </si>
  <si>
    <t>Daily FX Declaration Decision Report</t>
  </si>
  <si>
    <t>Report Date</t>
  </si>
  <si>
    <t>No-FX Fee</t>
  </si>
  <si>
    <t>Istanbul Direct Fee</t>
  </si>
  <si>
    <t>Report Amount USD</t>
  </si>
  <si>
    <t>Dubai Transfer Fee</t>
  </si>
  <si>
    <t>Daily_Rate_Input + Daily_Rates + Fees_Settings</t>
  </si>
  <si>
    <t>No-FX Conv %</t>
  </si>
  <si>
    <t>No-FX Total %</t>
  </si>
  <si>
    <t>Dubai Conv %</t>
  </si>
  <si>
    <t>Dubai Transfer %</t>
  </si>
  <si>
    <t>Dubai Total %</t>
  </si>
  <si>
    <t>Istanbul Direct %</t>
  </si>
  <si>
    <t>Second Best %</t>
  </si>
  <si>
    <t>Saving vs Next %</t>
  </si>
  <si>
    <t>Decision Explanation</t>
  </si>
  <si>
    <t>Next Action</t>
  </si>
  <si>
    <t>Report Line</t>
  </si>
  <si>
    <t>Daily Narrative Summary</t>
  </si>
  <si>
    <t>History Copy Block — copy A17:Y21 and paste VALUES into History starting at A5</t>
  </si>
  <si>
    <t>Tehran Buy</t>
  </si>
  <si>
    <t>Tehran Sell</t>
  </si>
  <si>
    <t>Dubai Buy</t>
  </si>
  <si>
    <t>Dubai Sell</t>
  </si>
  <si>
    <t>Istanbul Buy</t>
  </si>
  <si>
    <t>Istanbul Sell</t>
  </si>
  <si>
    <t>Sulaymaniyah Buy</t>
  </si>
  <si>
    <t>Sulaymaniyah Sell</t>
  </si>
  <si>
    <t>Tether Buy</t>
  </si>
  <si>
    <t>Tether Sell</t>
  </si>
  <si>
    <t>FX Declaration Decision History</t>
  </si>
  <si>
    <t>Daily workflow: paste arbitrage chat rate table into Daily_Rate_Input!A5:E9, review Daily_Report, then copy Daily_Report!A17:Y21 and paste VALUES ONLY into first empty History row.</t>
  </si>
  <si>
    <t>1405/04/16</t>
  </si>
  <si>
    <t/>
  </si>
  <si>
    <t>بهترین مسیر امروز برای رفع تعهد با منشأ ارز دلار تهران، «اظهارنامه بدون ارز» است.
هزینه تمام‌شده این مسیر 0.70% معادل حدود 7,000 دلار است.
مشتری 0.70% هزینه کارمزد اظهارنامه بدون ارز پرداخت می‌کند و 0.00% بابت تبدیل دلار تهران به دلار تهران هزینه می‌دهد؛ بنابراین هزینه نهایی 0.70% می‌شود.
گزینه‌های بعدی به ترتیب هزینه:
- اظهارنامه با ارز از مسیر دوبی: هزینه تمام‌شده 1.27% معادل حدود 12,650 دلار.
- اظهارنامه با ارز مستقیم استانبول: هزینه تمام‌شده  معادل حدود 0 دلار.
اختلاف بهترین مسیر با نزدیک‌ترین گزینه بعدی 0.57% معادل حدود 5,650 دلار است.</t>
  </si>
  <si>
    <t>بهترین مسیر امروز برای رفع تعهد با منشأ ارز دلار استانبول، «اظهارنامه بدون ارز» است.
هزینه تمام‌شده این مسیر 0.51% معادل حدود 5,096 دلار است.
مشتری 0.70% هزینه کارمزد اظهارنامه بدون ارز پرداخت می‌کند و 0.19% بابت تبدیل دلار استانبول به دلار تهران سر می‌گیرد؛ بنابراین هزینه نهایی 0.51% می‌شود.
گزینه‌های بعدی به ترتیب هزینه:
- اظهارنامه با ارز از مسیر دوبی: هزینه تمام‌شده 0.80% معادل حدود 7,992 دلار.
- اظهارنامه با ارز مستقیم استانبول: هزینه تمام‌شده 1.50% معادل حدود 15,000 دلار.
اختلاف بهترین مسیر با نزدیک‌ترین گزینه بعدی 0.29% معادل حدود 2,895 دلار است.</t>
  </si>
  <si>
    <t>بهترین مسیر امروز برای رفع تعهد با منشأ ارز دلار سلیمانیه، «اظهارنامه بدون ارز» است.
هزینه تمام‌شده این مسیر 0.27% معادل حدود 2,659 دلار است.
مشتری 0.70% هزینه کارمزد اظهارنامه بدون ارز پرداخت می‌کند و 0.43% بابت تبدیل دلار سلیمانیه به دلار تهران سر می‌گیرد؛ بنابراین هزینه نهایی 0.27% می‌شود.
گزینه‌های بعدی به ترتیب هزینه:
- اظهارنامه با ارز از مسیر دوبی: هزینه تمام‌شده 0.55% معادل حدود 5,543 دلار.
- اظهارنامه با ارز مستقیم استانبول: هزینه تمام‌شده  معادل حدود 0 دلار.
اختلاف بهترین مسیر با نزدیک‌ترین گزینه بعدی 0.29% معادل حدود 2,883 دلار است.</t>
  </si>
  <si>
    <t>بهترین مسیر امروز برای رفع تعهد با منشأ ارز دلار تتر، «اظهارنامه بدون ارز» است.
هزینه تمام‌شده این مسیر 0.70% معادل حدود 7,000 دلار است.
مشتری 0.70% هزینه کارمزد اظهارنامه بدون ارز پرداخت می‌کند و 0.00% بابت تبدیل دلار تتر به دلار تهران هزینه می‌دهد؛ بنابراین هزینه نهایی 0.70% می‌شود.
گزینه‌های بعدی به ترتیب هزینه:
- اظهارنامه با ارز از مسیر دوبی: هزینه تمام‌شده 0.99% معادل حدود 9,905 دلار.
- اظهارنامه با ارز مستقیم استانبول: هزینه تمام‌شده  معادل حدود 0 دلار.
اختلاف بهترین مسیر با نزدیک‌ترین گزینه بعدی 0.29% معادل حدود 2,905 دلار است.</t>
  </si>
  <si>
    <t>بهترین مسیر امروز برای رفع تعهد با منشأ ارز درهم دوبی، «اظهارنامه بدون ارز» است.
هزینه تمام‌شده این مسیر 0.97% معادل حدود 9,732 دلار است.
مشتری 0.70% هزینه کارمزد اظهارنامه بدون ارز پرداخت می‌کند و 0.27% بابت تبدیل درهم دوبی به دلار تهران هزینه می‌دهد؛ بنابراین هزینه نهایی 0.97% می‌شود.
گزینه‌های بعدی به ترتیب هزینه:
- اظهارنامه با ارز از مسیر دوبی: هزینه تمام‌شده 0.99% معادل حدود 9,905 دلار.
- اظهارنامه با ارز مستقیم استانبول: هزینه تمام‌شده  معادل حدود 0 دلار.
اختلاف بهترین مسیر با نزدیک‌ترین گزینه بعدی 0.02% معادل حدود 172 دلار است.</t>
  </si>
  <si>
    <t>1405/04/17</t>
  </si>
  <si>
    <t>Daily Rate Input — Paste Arbitrage Chat Output Here</t>
  </si>
  <si>
    <t>Standard Output Format for Arbitrage Chat</t>
  </si>
  <si>
    <t>Paste/overwrite this block daily</t>
  </si>
  <si>
    <t>1405/04/18</t>
  </si>
  <si>
    <t>-</t>
  </si>
  <si>
    <t>AED origin; USD Dubai conversion uses Dubai spread</t>
  </si>
  <si>
    <t>Use this exact structure in the Arbitrage chat and paste into A5:E9.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</si>
</sst>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0.000"/>
    <numFmt numFmtId="166" formatCode="#,##0.000"/>
    <numFmt numFmtId="167" formatCode="yyyy-mm-dd"/>
  </numFmts>
  <fonts count="24">
    <font>
      <sz val="11.0"/>
      <color rgb="FF000000"/>
      <name val="Carlito"/>
      <scheme val="minor"/>
    </font>
    <font>
      <b/>
      <sz val="14.0"/>
      <color rgb="FFFFFFFF"/>
      <name val="Vazirmatn"/>
    </font>
    <font/>
    <font>
      <sz val="10.0"/>
      <color theme="1"/>
      <name val="Vazirmatn"/>
    </font>
    <font>
      <sz val="11.0"/>
      <color theme="1"/>
      <name val="Vazirmatn"/>
    </font>
    <font>
      <b/>
      <sz val="11.0"/>
      <color rgb="FFFFFFFF"/>
      <name val="Vazirmatn"/>
    </font>
    <font>
      <b/>
      <sz val="11.0"/>
      <color theme="1"/>
      <name val="Vazirmatn"/>
    </font>
    <font>
      <b/>
      <sz val="11.0"/>
      <color rgb="FF0F172A"/>
      <name val="Vazirmatn"/>
    </font>
    <font>
      <b/>
      <sz val="11.0"/>
      <color rgb="FF111827"/>
      <name val="Vazirmatn"/>
    </font>
    <font>
      <color theme="1"/>
      <name val="Vazirmatn"/>
    </font>
    <font>
      <sz val="10.0"/>
      <color theme="1"/>
      <name val="Aptos"/>
    </font>
    <font>
      <sz val="11.0"/>
      <color theme="1"/>
      <name val="Carlito"/>
    </font>
    <font>
      <sz val="11.0"/>
      <color rgb="FF000000"/>
      <name val="Carlito"/>
    </font>
    <font>
      <b/>
      <sz val="14.0"/>
      <color rgb="FFFFFFFF"/>
      <name val="IRANSans Light"/>
    </font>
    <font>
      <b/>
      <sz val="14.0"/>
      <color rgb="FFFFFFFF"/>
      <name val="Aptos"/>
    </font>
    <font>
      <color theme="1"/>
      <name val="Carlito"/>
    </font>
    <font>
      <b/>
      <sz val="11.0"/>
      <color rgb="FFFFFFFF"/>
      <name val="Carlito"/>
    </font>
    <font>
      <b/>
      <sz val="16.0"/>
      <color rgb="FFFFFFFF"/>
      <name val="Vazirmatn"/>
    </font>
    <font>
      <sz val="11.0"/>
      <color rgb="FF000000"/>
      <name val="Vazirmatn"/>
    </font>
    <font>
      <sz val="12.0"/>
      <color rgb="FF000000"/>
      <name val="Vazirmatn"/>
    </font>
    <font>
      <b/>
      <sz val="12.0"/>
      <color rgb="FFFFFFFF"/>
      <name val="Vazirmatn"/>
    </font>
    <font>
      <b/>
      <color rgb="FF17365D"/>
      <name val="Vazirmatn"/>
    </font>
    <font>
      <b/>
      <sz val="13.0"/>
      <color rgb="FFFFFFFF"/>
      <name val="Vazirmatn"/>
    </font>
    <font>
      <b/>
      <sz val="11.0"/>
      <color rgb="FF7F6000"/>
      <name val="Vazirmatn"/>
    </font>
  </fonts>
  <fills count="18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0F2FE"/>
        <bgColor rgb="FFE0F2FE"/>
      </patternFill>
    </fill>
    <fill>
      <patternFill patternType="solid">
        <fgColor rgb="FFF9FAFB"/>
        <bgColor rgb="FFF9FAFB"/>
      </patternFill>
    </fill>
    <fill>
      <patternFill patternType="solid">
        <fgColor rgb="FF0F766E"/>
        <bgColor rgb="FF0F766E"/>
      </patternFill>
    </fill>
    <fill>
      <patternFill patternType="solid">
        <fgColor rgb="FFD9EAD3"/>
        <bgColor rgb="FFD9EAD3"/>
      </patternFill>
    </fill>
    <fill>
      <patternFill patternType="solid">
        <fgColor rgb="FFFEF3C7"/>
        <bgColor rgb="FFFEF3C7"/>
      </patternFill>
    </fill>
    <fill>
      <patternFill patternType="solid">
        <fgColor rgb="FFD97706"/>
        <bgColor rgb="FFD97706"/>
      </patternFill>
    </fill>
    <fill>
      <patternFill patternType="solid">
        <fgColor rgb="FF1E3A8A"/>
        <bgColor rgb="FF1E3A8A"/>
      </patternFill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4" numFmtId="164" xfId="0" applyAlignment="1" applyBorder="1" applyFill="1" applyFont="1" applyNumberForma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4" numFmtId="3" xfId="0" applyAlignment="1" applyBorder="1" applyFont="1" applyNumberFormat="1">
      <alignment horizontal="center" shrinkToFit="0" vertical="center" wrapText="1"/>
    </xf>
    <xf borderId="4" fillId="5" fontId="6" numFmtId="10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7" fontId="7" numFmtId="3" xfId="0" applyAlignment="1" applyBorder="1" applyFill="1" applyFont="1" applyNumberFormat="1">
      <alignment horizontal="center" readingOrder="0" shrinkToFit="0" vertical="center" wrapText="1"/>
    </xf>
    <xf borderId="4" fillId="5" fontId="6" numFmtId="3" xfId="0" applyAlignment="1" applyBorder="1" applyFont="1" applyNumberForma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5" fontId="4" numFmtId="10" xfId="0" applyAlignment="1" applyBorder="1" applyFont="1" applyNumberFormat="1">
      <alignment horizontal="center" shrinkToFit="0" vertical="center" wrapText="1"/>
    </xf>
    <xf borderId="4" fillId="5" fontId="6" numFmtId="2" xfId="0" applyAlignment="1" applyBorder="1" applyFont="1" applyNumberFormat="1">
      <alignment horizontal="center" shrinkToFit="0" vertical="center" wrapText="1"/>
    </xf>
    <xf borderId="4" fillId="5" fontId="4" numFmtId="2" xfId="0" applyAlignment="1" applyBorder="1" applyFont="1" applyNumberFormat="1">
      <alignment horizontal="center" shrinkToFit="0" vertical="center" wrapText="1"/>
    </xf>
    <xf borderId="5" fillId="8" fontId="8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0" fontId="4" numFmtId="166" xfId="0" applyAlignment="1" applyBorder="1" applyFont="1" applyNumberFormat="1">
      <alignment horizontal="center" shrinkToFit="0" vertical="center" wrapText="1"/>
    </xf>
    <xf borderId="4" fillId="0" fontId="4" numFmtId="10" xfId="0" applyAlignment="1" applyBorder="1" applyFont="1" applyNumberForma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165" xfId="0" applyAlignment="1" applyBorder="1" applyFont="1" applyNumberFormat="1">
      <alignment horizontal="center" shrinkToFit="0" vertical="center" wrapText="1"/>
    </xf>
    <xf borderId="4" fillId="2" fontId="5" numFmtId="166" xfId="0" applyAlignment="1" applyBorder="1" applyFont="1" applyNumberFormat="1">
      <alignment horizontal="center" shrinkToFit="0" vertical="center" wrapText="1"/>
    </xf>
    <xf borderId="4" fillId="2" fontId="5" numFmtId="10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wrapText="1"/>
    </xf>
    <xf borderId="0" fillId="0" fontId="4" numFmtId="0" xfId="0" applyAlignment="1" applyFont="1">
      <alignment horizontal="center" shrinkToFit="0" vertical="center" wrapText="1"/>
    </xf>
    <xf borderId="4" fillId="0" fontId="4" numFmtId="3" xfId="0" applyAlignment="1" applyBorder="1" applyFont="1" applyNumberFormat="1">
      <alignment horizontal="center" shrinkToFit="0" vertical="center" wrapText="1"/>
    </xf>
    <xf borderId="0" fillId="0" fontId="9" numFmtId="0" xfId="0" applyFont="1"/>
    <xf borderId="1" fillId="9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4" fillId="10" fontId="5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4" fillId="0" fontId="4" numFmtId="165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0" fillId="0" fontId="10" numFmtId="0" xfId="0" applyFont="1"/>
    <xf borderId="0" fillId="0" fontId="12" numFmtId="0" xfId="0" applyAlignment="1" applyFont="1">
      <alignment shrinkToFit="0" vertical="bottom" wrapText="1"/>
    </xf>
    <xf borderId="4" fillId="11" fontId="6" numFmtId="0" xfId="0" applyAlignment="1" applyBorder="1" applyFill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2" fontId="14" numFmtId="0" xfId="0" applyAlignment="1" applyFont="1">
      <alignment shrinkToFit="0" wrapText="1"/>
    </xf>
    <xf borderId="0" fillId="2" fontId="14" numFmtId="0" xfId="0" applyFont="1"/>
    <xf borderId="4" fillId="12" fontId="5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4" fillId="13" fontId="16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0" fillId="14" fontId="17" numFmtId="0" xfId="0" applyAlignment="1" applyFill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4" fillId="7" fontId="7" numFmtId="0" xfId="0" applyAlignment="1" applyBorder="1" applyFont="1">
      <alignment horizontal="center" shrinkToFit="0" vertical="center" wrapText="0"/>
    </xf>
    <xf borderId="4" fillId="0" fontId="9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7" fontId="7" numFmtId="10" xfId="0" applyAlignment="1" applyBorder="1" applyFont="1" applyNumberFormat="1">
      <alignment horizontal="center" shrinkToFit="0" vertical="center" wrapText="0"/>
    </xf>
    <xf borderId="4" fillId="0" fontId="18" numFmtId="10" xfId="0" applyAlignment="1" applyBorder="1" applyFont="1" applyNumberFormat="1">
      <alignment horizontal="center" shrinkToFit="0" vertical="center" wrapText="0"/>
    </xf>
    <xf borderId="4" fillId="0" fontId="18" numFmtId="3" xfId="0" applyAlignment="1" applyBorder="1" applyFont="1" applyNumberFormat="1">
      <alignment horizontal="center" shrinkToFit="0" vertical="center" wrapText="0"/>
    </xf>
    <xf borderId="4" fillId="15" fontId="5" numFmtId="0" xfId="0" applyAlignment="1" applyBorder="1" applyFill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18" numFmtId="10" xfId="0" applyAlignment="1" applyBorder="1" applyFont="1" applyNumberFormat="1">
      <alignment horizontal="center" shrinkToFit="0" vertical="center" wrapText="1"/>
    </xf>
    <xf borderId="4" fillId="0" fontId="18" numFmtId="3" xfId="0" applyAlignment="1" applyBorder="1" applyFont="1" applyNumberFormat="1">
      <alignment horizontal="center" shrinkToFit="0" vertical="center" wrapText="1"/>
    </xf>
    <xf borderId="1" fillId="13" fontId="5" numFmtId="0" xfId="0" applyAlignment="1" applyBorder="1" applyFont="1">
      <alignment horizontal="center" shrinkToFit="0" vertical="center" wrapText="0"/>
    </xf>
    <xf borderId="1" fillId="6" fontId="19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horizontal="center" vertical="center"/>
    </xf>
    <xf borderId="4" fillId="16" fontId="21" numFmtId="0" xfId="0" applyAlignment="1" applyBorder="1" applyFill="1" applyFont="1">
      <alignment horizontal="center" shrinkToFit="0" vertical="center" wrapText="1"/>
    </xf>
    <xf borderId="4" fillId="0" fontId="9" numFmtId="164" xfId="0" applyAlignment="1" applyBorder="1" applyFont="1" applyNumberForma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9" numFmtId="10" xfId="0" applyAlignment="1" applyBorder="1" applyFont="1" applyNumberFormat="1">
      <alignment horizontal="center" shrinkToFit="0" vertical="center" wrapText="1"/>
    </xf>
    <xf borderId="4" fillId="0" fontId="9" numFmtId="3" xfId="0" applyAlignment="1" applyBorder="1" applyFont="1" applyNumberFormat="1">
      <alignment horizontal="center" shrinkToFit="0" vertical="center" wrapText="1"/>
    </xf>
    <xf borderId="4" fillId="0" fontId="9" numFmtId="165" xfId="0" applyAlignment="1" applyBorder="1" applyFont="1" applyNumberFormat="1">
      <alignment horizontal="center" shrinkToFit="0" vertical="center" wrapText="1"/>
    </xf>
    <xf borderId="0" fillId="9" fontId="22" numFmtId="0" xfId="0" applyAlignment="1" applyFont="1">
      <alignment horizontal="center" shrinkToFit="0" vertical="center" wrapText="0"/>
    </xf>
    <xf borderId="0" fillId="17" fontId="23" numFmtId="0" xfId="0" applyAlignment="1" applyFill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18" numFmtId="164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10" xfId="0" applyAlignment="1" applyFont="1" applyNumberFormat="1">
      <alignment horizontal="center" shrinkToFit="0" vertical="center" wrapText="1"/>
    </xf>
    <xf borderId="0" fillId="0" fontId="18" numFmtId="3" xfId="0" applyAlignment="1" applyFont="1" applyNumberFormat="1">
      <alignment horizontal="center" shrinkToFit="0" vertical="center" wrapText="1"/>
    </xf>
    <xf borderId="0" fillId="0" fontId="18" numFmtId="165" xfId="0" applyAlignment="1" applyFont="1" applyNumberFormat="1">
      <alignment horizontal="center" shrinkToFit="0" vertical="center" wrapText="1"/>
    </xf>
    <xf borderId="0" fillId="0" fontId="18" numFmtId="167" xfId="0" applyAlignment="1" applyFont="1" applyNumberFormat="1">
      <alignment horizontal="center" shrinkToFit="0" vertical="center" wrapText="1"/>
    </xf>
    <xf borderId="1" fillId="9" fontId="20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0" fillId="9" fontId="20" numFmtId="0" xfId="0" applyAlignment="1" applyFont="1">
      <alignment horizontal="center" shrinkToFit="0" vertical="center" wrapText="0"/>
    </xf>
    <xf borderId="4" fillId="10" fontId="8" numFmtId="0" xfId="0" applyAlignment="1" applyBorder="1" applyFont="1">
      <alignment horizontal="center" readingOrder="0" shrinkToFit="0" vertical="center" wrapText="0"/>
    </xf>
    <xf borderId="4" fillId="10" fontId="8" numFmtId="0" xfId="0" applyAlignment="1" applyBorder="1" applyFont="1">
      <alignment horizontal="center" shrinkToFit="0" vertical="center" wrapText="0"/>
    </xf>
    <xf borderId="0" fillId="4" fontId="18" numFmtId="0" xfId="0" applyAlignment="1" applyFont="1">
      <alignment horizontal="center" shrinkToFit="0" vertical="center" wrapText="0"/>
    </xf>
    <xf borderId="0" fillId="4" fontId="18" numFmtId="165" xfId="0" applyAlignment="1" applyFont="1" applyNumberFormat="1">
      <alignment horizontal="center" shrinkToFit="0" vertical="center" wrapText="0"/>
    </xf>
    <xf borderId="4" fillId="17" fontId="18" numFmtId="164" xfId="0" applyAlignment="1" applyBorder="1" applyFont="1" applyNumberFormat="1">
      <alignment horizontal="center" readingOrder="0" shrinkToFit="0" vertical="center" wrapText="0"/>
    </xf>
    <xf borderId="4" fillId="17" fontId="18" numFmtId="0" xfId="0" applyAlignment="1" applyBorder="1" applyFont="1">
      <alignment horizontal="center" readingOrder="0" shrinkToFit="0" vertical="center" wrapText="0"/>
    </xf>
    <xf borderId="4" fillId="17" fontId="18" numFmtId="165" xfId="0" applyAlignment="1" applyBorder="1" applyFont="1" applyNumberFormat="1">
      <alignment horizontal="center" readingOrder="0" shrinkToFit="0" vertical="center" wrapText="0"/>
    </xf>
    <xf borderId="4" fillId="17" fontId="1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13"/>
    <col customWidth="1" min="2" max="2" width="25.75"/>
    <col customWidth="1" min="3" max="3" width="8.75"/>
    <col customWidth="1" min="4" max="4" width="25.88"/>
    <col customWidth="1" min="5" max="5" width="17.63"/>
    <col customWidth="1" min="6" max="6" width="14.63"/>
    <col customWidth="1" min="7" max="7" width="12.25"/>
    <col customWidth="1" min="8" max="8" width="16.75"/>
    <col customWidth="1" min="9" max="9" width="42.63"/>
    <col customWidth="1" min="10" max="25" width="8.88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5"/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31.5" customHeight="1">
      <c r="A3" s="7" t="s">
        <v>1</v>
      </c>
      <c r="B3" s="3"/>
      <c r="C3" s="8"/>
      <c r="D3" s="7" t="s">
        <v>2</v>
      </c>
      <c r="E3" s="2"/>
      <c r="F3" s="2"/>
      <c r="G3" s="2"/>
      <c r="H3" s="2"/>
      <c r="I3" s="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31.5" customHeight="1">
      <c r="A4" s="9" t="s">
        <v>3</v>
      </c>
      <c r="B4" s="10">
        <f>Daily_Rate_Input!$A$3</f>
        <v>-180686</v>
      </c>
      <c r="C4" s="5"/>
      <c r="D4" s="9" t="s">
        <v>4</v>
      </c>
      <c r="E4" s="11" t="str">
        <f t="array" ref="E4">IF(Route_Comparison!$C$5="Yes",INDEX(Route_Comparison!$B$3:$B$5,MATCH(MIN(Route_Comparison!$G$3:$G$5),Route_Comparison!$G$3:$G$5,0)),INDEX(Route_Comparison!$B$3:$B$4,MATCH(MIN(Route_Comparison!$G$3:$G$4),Route_Comparison!$G$3:$G$4,0)))</f>
        <v>اظهارنامه با ارز از مسیر دوبی</v>
      </c>
      <c r="F4" s="5"/>
      <c r="G4" s="12" t="s">
        <v>5</v>
      </c>
      <c r="H4" s="13"/>
      <c r="I4" s="1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31.5" customHeight="1">
      <c r="A5" s="9" t="s">
        <v>6</v>
      </c>
      <c r="B5" s="15">
        <v>1000000.0</v>
      </c>
      <c r="C5" s="5"/>
      <c r="D5" s="9" t="s">
        <v>7</v>
      </c>
      <c r="E5" s="16">
        <f>IF(Route_Comparison!$C$5="Yes",MIN(Route_Comparison!$G$3:$G$5),MIN(Route_Comparison!$G$3:$G$4))</f>
        <v>0.005</v>
      </c>
      <c r="F5" s="5"/>
      <c r="G5" s="17"/>
      <c r="I5" s="1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31.5" customHeight="1">
      <c r="A6" s="9" t="s">
        <v>8</v>
      </c>
      <c r="B6" s="19" t="s">
        <v>9</v>
      </c>
      <c r="C6" s="5"/>
      <c r="D6" s="9" t="s">
        <v>10</v>
      </c>
      <c r="E6" s="20">
        <f>B5*E5</f>
        <v>5000</v>
      </c>
      <c r="F6" s="5"/>
      <c r="G6" s="21"/>
      <c r="H6" s="22"/>
      <c r="I6" s="2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31.5" customHeight="1">
      <c r="A7" s="9" t="s">
        <v>11</v>
      </c>
      <c r="B7" s="24">
        <f>Fees_Settings!$E$3</f>
        <v>0.007</v>
      </c>
      <c r="C7" s="5"/>
      <c r="D7" s="9" t="s">
        <v>12</v>
      </c>
      <c r="E7" s="16">
        <f>IF(Route_Comparison!$C$5="Yes",SMALL(Route_Comparison!$G$3:$G$5,2),MAX(Route_Comparison!$G$3:$G$4))</f>
        <v>0.005912748029</v>
      </c>
      <c r="F7" s="5"/>
      <c r="G7" s="5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31.5" customHeight="1">
      <c r="A8" s="9" t="s">
        <v>13</v>
      </c>
      <c r="B8" s="24">
        <f>Fees_Settings!$E$4</f>
        <v>0.005</v>
      </c>
      <c r="C8" s="5"/>
      <c r="D8" s="9" t="s">
        <v>14</v>
      </c>
      <c r="E8" s="16">
        <f>E7-E5</f>
        <v>0.0009127480294</v>
      </c>
      <c r="F8" s="5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31.5" customHeight="1">
      <c r="A9" s="9" t="s">
        <v>15</v>
      </c>
      <c r="B9" s="24">
        <f>Fees_Settings!$E$5</f>
        <v>0.015</v>
      </c>
      <c r="C9" s="5"/>
      <c r="D9" s="9"/>
      <c r="E9" s="25"/>
      <c r="F9" s="5"/>
      <c r="G9" s="5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47.0" customHeight="1">
      <c r="A10" s="9" t="s">
        <v>16</v>
      </c>
      <c r="B10" s="26" t="s">
        <v>17</v>
      </c>
      <c r="C10" s="5"/>
      <c r="D10" s="27" t="str">
        <f t="array" ref="D10">"بهترین مسیر امروز برای رفع تعهد با منشأ ارز "&amp;XLOOKUP($B$6,Daily_Rates!$B$3:$B$7,Daily_Rates!$C$3:$C$7)&amp;"، «"&amp;$E$4&amp;"» است."&amp;CHAR(10)&amp;
"هزینه تمام‌شده این مسیر "&amp;TEXT($E$5,"0.00%")&amp;" معادل حدود "&amp;TEXT($E$6,"#,##0")&amp;" دلار است."&amp;CHAR(10)&amp;CHAR(10)&amp;
"جزئیات مسیر پیشنهادی:"&amp;CHAR(10)&amp;
IF($E$4="اظهارنامه بدون ارز",
"مشتری "&amp;TEXT(XLOOKUP("NO_FX",Route_Comparison!$A$3:$A$5,Route_Comparison!$F$3:$F$5),"0.00%")&amp;" هزینه کارمزد اظهارنامه بدون ارز پرداخت می‌کند و "&amp;IF(XLOOKUP("NO_FX",Route_Comparison!$A$3:$A$5,Route_Comparison!$E$3:$E$5)&lt;0,TEXT(ABS(XLOOKUP("NO_FX",Route_Comparison!$A$3:$A$5,Route_Comparison!$E$3:$E$5)),"0.00%")&amp;" بابت تبدیل "&amp;XLOOKUP($B$6,Daily_Rates!$B$3:$B$7,Daily_Rates!$C$3:$C$7)&amp;" به دلار تهران سر می‌گیرد",TEXT(XLOOKUP("NO_FX",Route_Comparison!$A$3:$A$5,Route_Comparison!$E$3:$E$5),"0.00%")&amp;" بابت تبدیل "&amp;XLOOKUP($B$6,Daily_Rates!$B$3:$B$7,Daily_Rates!$C$3:$C$7)&amp;" به دلار تهران هزینه می‌دهد")&amp;"؛ بنابراین هزینه نهایی "&amp;TEXT(XLOOKUP("NO_FX",Route_Comparison!$A$3:$A$5,Route_Comparison!$G$3:$G$5),"0.00%")&amp;" می‌شود.",
IF($E$4="اظهارنامه با ارز از مسیر دوبی",
"مشتری "&amp;IF(XLOOKUP("DUBAI_FX",Route_Comparison!$A$3:$A$5,Route_Comparison!$E$3:$E$5)&lt;0,TEXT(ABS(XLOOKUP("DUBAI_FX",Route_Comparison!$A$3:$A$5,Route_Comparison!$E$3:$E$5)),"0.00%")&amp;" بابت تبدیل "&amp;XLOOKUP($B$6,Daily_Rates!$B$3:$B$7,Daily_Rates!$C$3:$C$7)&amp;" به دلار دوبی سر می‌گیرد",TEXT(XLOOKUP("DUBAI_FX",Route_Comparison!$A$3:$A$5,Route_Comparison!$E$3:$E$5),"0.00%")&amp;" بابت تبدیل "&amp;XLOOKUP($B$6,Daily_Rates!$B$3:$B$7,Daily_Rates!$C$3:$C$7)&amp;" به دلار دوبی هزینه می‌دهد")&amp;" و "&amp;TEXT(XLOOKUP("DUBAI_FX",Route_Comparison!$A$3:$A$5,Route_Comparison!$F$3:$F$5),"0.00%")&amp;" هزینه انتقال / ورود ارز از مسیر دوبی پرداخت می‌کند؛ بنابراین هزینه نهایی "&amp;TEXT(XLOOKUP("DUBAI_FX",Route_Comparison!$A$3:$A$5,Route_Comparison!$G$3:$G$5),"0.00%")&amp;" می‌شود.",
"مشتری از مسیر مستقیم استانبول استفاده می‌کند. این مسیر شامل تبدیل ارز و هزینه انتقال است و کارمزد ثابت آن "&amp;TEXT(XLOOKUP("IST_DIRECT",Route_Comparison!$A$3:$A$5,Route_Comparison!$G$3:$G$5),"0.00%")&amp;" است."
))&amp;CHAR(10)&amp;CHAR(10)&amp;
"گزینه‌های بعدی شامل:"&amp;CHAR(10)&amp;
IF(AND($E$4&lt;&gt;"اظهارنامه بدون ارز",XLOOKUP("NO_FX",Route_Comparison!$A$3:$A$5,Route_Comparison!$C$3:$C$5)="Yes"),"- اظهارنامه بدون ارز: هزینه تمام‌شده "&amp;TEXT(XLOOKUP("NO_FX",Route_Comparison!$A$3:$A$5,Route_Comparison!$G$3:$G$5),"0.00%")&amp;" معادل حدود "&amp;TEXT(XLOOKUP("NO_FX",Route_Comparison!$A$3:$A$5,Route_Comparison!$H$3:$H$5),"#,##0")&amp;" دلار. شامل "&amp;TEXT(XLOOKUP("NO_FX",Route_Comparison!$A$3:$A$5,Route_Comparison!$F$3:$F$5),"0.00%")&amp;" کارمزد اظهارنامه بدون ارز و "&amp;IF(XLOOKUP("NO_FX",Route_Comparison!$A$3:$A$5,Route_Comparison!$E$3:$E$5)&lt;0,TEXT(ABS(XLOOKUP("NO_FX",Route_Comparison!$A$3:$A$5,Route_Comparison!$E$3:$E$5)),"0.00%")&amp;" سرگیری از تبدیل "&amp;XLOOKUP($B$6,Daily_Rates!$B$3:$B$7,Daily_Rates!$C$3:$C$7)&amp;" به دلار تهران",TEXT(XLOOKUP("NO_FX",Route_Comparison!$A$3:$A$5,Route_Comparison!$E$3:$E$5),"0.00%")&amp;" هزینه تبدیل "&amp;XLOOKUP($B$6,Daily_Rates!$B$3:$B$7,Daily_Rates!$C$3:$C$7)&amp;" به دلار تهران")&amp;"."&amp;CHAR(10),"")&amp;
IF(AND($E$4&lt;&gt;"اظهارنامه با ارز از مسیر دوبی",XLOOKUP("DUBAI_FX",Route_Comparison!$A$3:$A$5,Route_Comparison!$C$3:$C$5)="Yes"),"- اظهارنامه با ارز از مسیر دوبی: هزینه تمام‌شده "&amp;TEXT(XLOOKUP("DUBAI_FX",Route_Comparison!$A$3:$A$5,Route_Comparison!$G$3:$G$5),"0.00%")&amp;" معادل حدود "&amp;TEXT(XLOOKUP("DUBAI_FX",Route_Comparison!$A$3:$A$5,Route_Comparison!$H$3:$H$5),"#,##0")&amp;" دلار. شامل "&amp;TEXT(XLOOKUP("DUBAI_FX",Route_Comparison!$A$3:$A$5,Route_Comparison!$E$3:$E$5),"0.00%")&amp;" هزینه تبدیل "&amp;XLOOKUP($B$6,Daily_Rates!$B$3:$B$7,Daily_Rates!$C$3:$C$7)&amp;" به دلار دوبی و "&amp;TEXT(XLOOKUP("DUBAI_FX",Route_Comparison!$A$3:$A$5,Route_Comparison!$F$3:$F$5),"0.00%")&amp;" هزینه انتقال / ورود ارز از مسیر دوبی."&amp;CHAR(10),"")&amp;
IF(AND($E$4&lt;&gt;"اظهارنامه با ارز مستقیم استانبول",XLOOKUP("IST_DIRECT",Route_Comparison!$A$3:$A$5,Route_Comparison!$C$3:$C$5)="Yes"),"- اظهارنامه با ارز مستقیم استانبول: هزینه تمام‌شده "&amp;TEXT(XLOOKUP("IST_DIRECT",Route_Comparison!$A$3:$A$5,Route_Comparison!$G$3:$G$5),"0.00%")&amp;" معادل حدود "&amp;TEXT(XLOOKUP("IST_DIRECT",Route_Comparison!$A$3:$A$5,Route_Comparison!$H$3:$H$5),"#,##0")&amp;" دلار. این مسیر شامل تبدیل ارز و هزینه انتقال با کارمزد ثابت تأمین‌کننده است.","")</f>
        <v>بهترین مسیر امروز برای رفع تعهد با منشأ ارز دلار استانبول، «اظهارنامه با ارز از مسیر دوبی» است.
هزینه تمام‌شده این مسیر 0.50% معادل حدود 5,000 دلار است.
جزئیات مسیر پیشنهادی:
مشتری  بابت تبدیل دلار استانبول به دلار دوبی هزینه می‌دهد و 0.50% هزینه انتقال / ورود ارز از مسیر دوبی پرداخت می‌کند؛ بنابراین هزینه نهایی 0.50% می‌شود.
گزینه‌های بعدی شامل:
- اظهارنامه بدون ارز: هزینه تمام‌شده 0.59% معادل حدود 5,913 دلار. شامل 0.70% کارمزد اظهارنامه بدون ارز و 0.11% سرگیری از تبدیل دلار استانبول به دلار تهران.
- اظهارنامه با ارز مستقیم استانبول: هزینه تمام‌شده 1.50% معادل حدود 15,000 دلار. این مسیر شامل تبدیل ارز و هزینه انتقال با کارمزد ثابت تأمین‌کننده است.</v>
      </c>
      <c r="E10" s="13"/>
      <c r="F10" s="13"/>
      <c r="G10" s="13"/>
      <c r="H10" s="13"/>
      <c r="I10" s="14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2.5" customHeight="1">
      <c r="A11" s="9" t="s">
        <v>18</v>
      </c>
      <c r="B11" s="28" t="s">
        <v>19</v>
      </c>
      <c r="C11" s="5"/>
      <c r="D11" s="5"/>
      <c r="E11" s="5"/>
      <c r="F11" s="5"/>
      <c r="G11" s="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2.5" customHeight="1">
      <c r="A12" s="9" t="s">
        <v>20</v>
      </c>
      <c r="B12" s="24"/>
      <c r="C12" s="5"/>
      <c r="D12" s="8" t="s">
        <v>21</v>
      </c>
      <c r="E12" s="8" t="s">
        <v>22</v>
      </c>
      <c r="F12" s="8" t="s">
        <v>23</v>
      </c>
      <c r="G12" s="8" t="s">
        <v>24</v>
      </c>
      <c r="H12" s="8" t="s">
        <v>25</v>
      </c>
      <c r="I12" s="8" t="s">
        <v>26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2.5" customHeight="1">
      <c r="A13" s="9" t="s">
        <v>27</v>
      </c>
      <c r="B13" s="24" t="s">
        <v>19</v>
      </c>
      <c r="C13" s="5"/>
      <c r="D13" s="5" t="str">
        <f>Daily_Rates!A3</f>
        <v>Tether</v>
      </c>
      <c r="E13" s="5" t="str">
        <f>Daily_Rates!B3</f>
        <v>USD_Tether</v>
      </c>
      <c r="F13" s="29" t="str">
        <f>Daily_Rates!C3</f>
        <v>دلار تتر</v>
      </c>
      <c r="G13" s="29">
        <f>Daily_Rates!D3</f>
        <v>3.665</v>
      </c>
      <c r="H13" s="30">
        <f>Daily_Rates!E3</f>
        <v>3.67</v>
      </c>
      <c r="I13" s="31">
        <f t="shared" ref="I13:I17" si="1">(H13-G13)/G13</f>
        <v>0.00136425648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22.5" customHeight="1">
      <c r="A14" s="9" t="s">
        <v>28</v>
      </c>
      <c r="B14" s="24"/>
      <c r="C14" s="5"/>
      <c r="D14" s="5" t="str">
        <f>Daily_Rates!A4</f>
        <v>Tehran</v>
      </c>
      <c r="E14" s="5" t="str">
        <f>Daily_Rates!B4</f>
        <v>USD_Tehran</v>
      </c>
      <c r="F14" s="29" t="str">
        <f>Daily_Rates!C4</f>
        <v>دلار تهران</v>
      </c>
      <c r="G14" s="29">
        <f>Daily_Rates!D4</f>
        <v>3.665</v>
      </c>
      <c r="H14" s="30">
        <f>Daily_Rates!E4</f>
        <v>3.675</v>
      </c>
      <c r="I14" s="31">
        <f t="shared" si="1"/>
        <v>0.00272851296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2.5" customHeight="1">
      <c r="A15" s="5"/>
      <c r="B15" s="5"/>
      <c r="C15" s="5"/>
      <c r="D15" s="5" t="str">
        <f>Daily_Rates!A5</f>
        <v>Istanbul</v>
      </c>
      <c r="E15" s="5" t="str">
        <f>Daily_Rates!B5</f>
        <v>USD_Istanbul</v>
      </c>
      <c r="F15" s="29" t="str">
        <f>Daily_Rates!C5</f>
        <v>دلار استانبول</v>
      </c>
      <c r="G15" s="29">
        <f>Daily_Rates!D5</f>
        <v>3.679</v>
      </c>
      <c r="H15" s="30">
        <f>Daily_Rates!E5</f>
        <v>3.685</v>
      </c>
      <c r="I15" s="31">
        <f t="shared" si="1"/>
        <v>0.001630877956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2.5" customHeight="1">
      <c r="A16" s="5"/>
      <c r="B16" s="5"/>
      <c r="C16" s="5"/>
      <c r="D16" s="5" t="str">
        <f>Daily_Rates!A6</f>
        <v>Sulaymaniyah</v>
      </c>
      <c r="E16" s="5" t="str">
        <f>Daily_Rates!B6</f>
        <v>USD_Sulaymaniyah</v>
      </c>
      <c r="F16" s="29" t="str">
        <f>Daily_Rates!C6</f>
        <v>دلار سلیمانیه</v>
      </c>
      <c r="G16" s="29" t="str">
        <f>Daily_Rates!D6</f>
        <v>-</v>
      </c>
      <c r="H16" s="30" t="str">
        <f>Daily_Rates!E6</f>
        <v>-</v>
      </c>
      <c r="I16" s="31" t="str">
        <f t="shared" si="1"/>
        <v>#VALUE!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31.5" customHeight="1">
      <c r="A17" s="32"/>
      <c r="B17" s="32"/>
      <c r="C17" s="32"/>
      <c r="D17" s="32" t="str">
        <f>Daily_Rates!A7</f>
        <v>Dubai</v>
      </c>
      <c r="E17" s="32" t="str">
        <f>Daily_Rates!B7</f>
        <v>AED_Dubai</v>
      </c>
      <c r="F17" s="33" t="str">
        <f>Daily_Rates!C7</f>
        <v>درهم دوبی</v>
      </c>
      <c r="G17" s="33" t="str">
        <f>Daily_Rates!D7</f>
        <v>-</v>
      </c>
      <c r="H17" s="34" t="str">
        <f>Daily_Rates!E7</f>
        <v>-</v>
      </c>
      <c r="I17" s="35" t="str">
        <f t="shared" si="1"/>
        <v>#VALUE!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2.5" customHeight="1">
      <c r="A18" s="36"/>
      <c r="B18" s="36"/>
      <c r="C18" s="37"/>
      <c r="D18" s="37"/>
      <c r="E18" s="37"/>
      <c r="F18" s="37"/>
      <c r="G18" s="37"/>
      <c r="H18" s="37"/>
      <c r="I18" s="3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31.5" customHeight="1">
      <c r="A19" s="8" t="s">
        <v>29</v>
      </c>
      <c r="B19" s="8" t="s">
        <v>30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10</v>
      </c>
      <c r="I19" s="8" t="s">
        <v>16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31.5" customHeight="1">
      <c r="A20" s="5" t="str">
        <f>Route_Comparison!A3</f>
        <v>NO_FX</v>
      </c>
      <c r="B20" s="5" t="str">
        <f>Route_Comparison!B3</f>
        <v>اظهارنامه بدون ارز</v>
      </c>
      <c r="C20" s="5" t="str">
        <f>Route_Comparison!C3</f>
        <v>Yes</v>
      </c>
      <c r="D20" s="31">
        <f>Route_Comparison!D3</f>
        <v>-0.001087251971</v>
      </c>
      <c r="E20" s="31">
        <f>Route_Comparison!E3</f>
        <v>-0.001087251971</v>
      </c>
      <c r="F20" s="31">
        <f>Route_Comparison!F3</f>
        <v>0.007</v>
      </c>
      <c r="G20" s="31">
        <f>IF(Route_Comparison!G3="","",Route_Comparison!G3)</f>
        <v>0.005912748029</v>
      </c>
      <c r="H20" s="38">
        <f>IF(Route_Comparison!H3="","",Route_Comparison!H3)</f>
        <v>5912.748029</v>
      </c>
      <c r="I20" s="38" t="str">
        <f>Route_Comparison!I3</f>
        <v>Origin → USD_Tehran + No-FX declaration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31.5" customHeight="1">
      <c r="A21" s="5" t="str">
        <f>Route_Comparison!A4</f>
        <v>DUBAI_FX</v>
      </c>
      <c r="B21" s="5" t="str">
        <f>Route_Comparison!B4</f>
        <v>اظهارنامه با ارز از مسیر دوبی</v>
      </c>
      <c r="C21" s="5" t="str">
        <f>Route_Comparison!C4</f>
        <v>Yes</v>
      </c>
      <c r="D21" s="31" t="str">
        <f>Route_Comparison!D4</f>
        <v/>
      </c>
      <c r="E21" s="31" t="str">
        <f>Route_Comparison!E4</f>
        <v/>
      </c>
      <c r="F21" s="31">
        <f>Route_Comparison!F4</f>
        <v>0.005</v>
      </c>
      <c r="G21" s="31">
        <f>IF(Route_Comparison!G4="","",Route_Comparison!G4)</f>
        <v>0.005</v>
      </c>
      <c r="H21" s="38">
        <f>IF(Route_Comparison!H4="","",Route_Comparison!H4)</f>
        <v>5000</v>
      </c>
      <c r="I21" s="38" t="str">
        <f>Route_Comparison!I4</f>
        <v>Origin → USD_Dubai + Dubai transfer/import fee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31.5" customHeight="1">
      <c r="A22" s="5" t="str">
        <f>Route_Comparison!A5</f>
        <v>IST_DIRECT</v>
      </c>
      <c r="B22" s="5" t="str">
        <f>Route_Comparison!B5</f>
        <v>اظهارنامه با ارز مستقیم استانبول</v>
      </c>
      <c r="C22" s="5" t="str">
        <f>Route_Comparison!C5</f>
        <v>Yes</v>
      </c>
      <c r="D22" s="31">
        <f>Route_Comparison!D5</f>
        <v>0</v>
      </c>
      <c r="E22" s="31">
        <f>Route_Comparison!E5</f>
        <v>0</v>
      </c>
      <c r="F22" s="31">
        <f>Route_Comparison!F5</f>
        <v>0.015</v>
      </c>
      <c r="G22" s="31">
        <f>IF(Route_Comparison!G5="","",Route_Comparison!G5)</f>
        <v>0.015</v>
      </c>
      <c r="H22" s="38">
        <f>IF(Route_Comparison!H5="","",Route_Comparison!H5)</f>
        <v>15000</v>
      </c>
      <c r="I22" s="38" t="str">
        <f>Route_Comparison!I5</f>
        <v>Only active when Origin = USD_Istanbul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2.5" customHeight="1">
      <c r="A23" s="36"/>
      <c r="B23" s="36"/>
      <c r="C23" s="37"/>
      <c r="D23" s="37"/>
      <c r="E23" s="37"/>
      <c r="F23" s="37"/>
      <c r="G23" s="37"/>
      <c r="H23" s="37"/>
      <c r="I23" s="3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2.5" customHeight="1">
      <c r="A24" s="36"/>
      <c r="B24" s="36"/>
      <c r="C24" s="37"/>
      <c r="D24" s="37"/>
      <c r="E24" s="37"/>
      <c r="F24" s="37"/>
      <c r="G24" s="37"/>
      <c r="H24" s="37"/>
      <c r="I24" s="3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2.5" customHeight="1">
      <c r="A25" s="36"/>
      <c r="B25" s="36"/>
      <c r="C25" s="37"/>
      <c r="D25" s="37"/>
      <c r="E25" s="37"/>
      <c r="F25" s="37"/>
      <c r="G25" s="37"/>
      <c r="H25" s="37"/>
      <c r="I25" s="3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22.5" customHeight="1">
      <c r="A26" s="36"/>
      <c r="B26" s="36"/>
      <c r="C26" s="37"/>
      <c r="D26" s="37"/>
      <c r="E26" s="37"/>
      <c r="F26" s="37"/>
      <c r="G26" s="37"/>
      <c r="H26" s="37"/>
      <c r="I26" s="3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22.5" customHeight="1">
      <c r="A27" s="36"/>
      <c r="B27" s="36"/>
      <c r="C27" s="37"/>
      <c r="D27" s="37"/>
      <c r="E27" s="37"/>
      <c r="F27" s="37"/>
      <c r="G27" s="37"/>
      <c r="H27" s="37"/>
      <c r="I27" s="3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22.5" customHeight="1">
      <c r="A28" s="36"/>
      <c r="B28" s="36"/>
      <c r="C28" s="37"/>
      <c r="D28" s="37"/>
      <c r="E28" s="37"/>
      <c r="F28" s="37"/>
      <c r="G28" s="37"/>
      <c r="H28" s="37"/>
      <c r="I28" s="3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22.5" customHeight="1">
      <c r="A29" s="39"/>
      <c r="B29" s="39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22.5" customHeight="1">
      <c r="A30" s="39"/>
      <c r="B30" s="39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22.5" customHeight="1">
      <c r="A31" s="39"/>
      <c r="B31" s="39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22.5" customHeight="1">
      <c r="A32" s="39"/>
      <c r="B32" s="39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22.5" customHeight="1">
      <c r="A33" s="39"/>
      <c r="B33" s="3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22.5" customHeight="1">
      <c r="A34" s="39"/>
      <c r="B34" s="3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22.5" customHeight="1">
      <c r="A35" s="39"/>
      <c r="B35" s="3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22.5" customHeight="1">
      <c r="A36" s="39"/>
      <c r="B36" s="3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22.5" customHeight="1">
      <c r="A37" s="39"/>
      <c r="B37" s="3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22.5" customHeight="1">
      <c r="A38" s="39"/>
      <c r="B38" s="3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22.5" customHeight="1">
      <c r="A39" s="39"/>
      <c r="B39" s="3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22.5" customHeight="1">
      <c r="A40" s="39"/>
      <c r="B40" s="3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22.5" customHeight="1">
      <c r="A41" s="39"/>
      <c r="B41" s="3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22.5" customHeight="1">
      <c r="A42" s="39"/>
      <c r="B42" s="3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22.5" customHeight="1">
      <c r="A43" s="39"/>
      <c r="B43" s="3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22.5" customHeight="1">
      <c r="A44" s="39"/>
      <c r="B44" s="3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22.5" customHeight="1">
      <c r="A45" s="39"/>
      <c r="B45" s="3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22.5" customHeight="1">
      <c r="A46" s="39"/>
      <c r="B46" s="3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22.5" customHeight="1">
      <c r="A47" s="39"/>
      <c r="B47" s="39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22.5" customHeight="1">
      <c r="A48" s="39"/>
      <c r="B48" s="3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22.5" customHeight="1">
      <c r="A49" s="39"/>
      <c r="B49" s="3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22.5" customHeight="1">
      <c r="A50" s="39"/>
      <c r="B50" s="3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22.5" customHeight="1">
      <c r="A51" s="39"/>
      <c r="B51" s="39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22.5" customHeight="1">
      <c r="A52" s="39"/>
      <c r="B52" s="3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22.5" customHeight="1">
      <c r="A53" s="39"/>
      <c r="B53" s="39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22.5" customHeight="1">
      <c r="A54" s="39"/>
      <c r="B54" s="39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22.5" customHeight="1">
      <c r="A55" s="39"/>
      <c r="B55" s="3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22.5" customHeight="1">
      <c r="A56" s="39"/>
      <c r="B56" s="39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22.5" customHeight="1">
      <c r="A57" s="39"/>
      <c r="B57" s="39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22.5" customHeight="1">
      <c r="A58" s="39"/>
      <c r="B58" s="39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22.5" customHeight="1">
      <c r="A59" s="39"/>
      <c r="B59" s="39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22.5" customHeight="1">
      <c r="A60" s="39"/>
      <c r="B60" s="39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22.5" customHeight="1">
      <c r="A61" s="39"/>
      <c r="B61" s="3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22.5" customHeight="1">
      <c r="A62" s="39"/>
      <c r="B62" s="3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22.5" customHeight="1">
      <c r="A63" s="39"/>
      <c r="B63" s="3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22.5" customHeight="1">
      <c r="A64" s="39"/>
      <c r="B64" s="39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22.5" customHeight="1">
      <c r="A65" s="39"/>
      <c r="B65" s="39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22.5" customHeight="1">
      <c r="A66" s="39"/>
      <c r="B66" s="39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22.5" customHeight="1">
      <c r="A67" s="39"/>
      <c r="B67" s="3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22.5" customHeight="1">
      <c r="A68" s="39"/>
      <c r="B68" s="39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22.5" customHeight="1">
      <c r="A69" s="39"/>
      <c r="B69" s="39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22.5" customHeight="1">
      <c r="A70" s="39"/>
      <c r="B70" s="39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22.5" customHeight="1">
      <c r="A71" s="39"/>
      <c r="B71" s="3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22.5" customHeight="1">
      <c r="A72" s="39"/>
      <c r="B72" s="39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22.5" customHeight="1">
      <c r="A73" s="39"/>
      <c r="B73" s="3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22.5" customHeight="1">
      <c r="A74" s="39"/>
      <c r="B74" s="39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22.5" customHeight="1">
      <c r="A75" s="39"/>
      <c r="B75" s="3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22.5" customHeight="1">
      <c r="A76" s="39"/>
      <c r="B76" s="39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22.5" customHeight="1">
      <c r="A77" s="39"/>
      <c r="B77" s="39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22.5" customHeight="1">
      <c r="A78" s="39"/>
      <c r="B78" s="39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22.5" customHeight="1">
      <c r="A79" s="39"/>
      <c r="B79" s="39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22.5" customHeight="1">
      <c r="A80" s="39"/>
      <c r="B80" s="39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22.5" customHeight="1">
      <c r="A81" s="39"/>
      <c r="B81" s="3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22.5" customHeight="1">
      <c r="A82" s="39"/>
      <c r="B82" s="39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22.5" customHeight="1">
      <c r="A83" s="39"/>
      <c r="B83" s="39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22.5" customHeight="1">
      <c r="A84" s="39"/>
      <c r="B84" s="39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22.5" customHeight="1">
      <c r="A85" s="39"/>
      <c r="B85" s="39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22.5" customHeight="1">
      <c r="A86" s="39"/>
      <c r="B86" s="3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22.5" customHeight="1">
      <c r="A87" s="39"/>
      <c r="B87" s="39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22.5" customHeight="1">
      <c r="A88" s="39"/>
      <c r="B88" s="39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22.5" customHeight="1">
      <c r="A89" s="39"/>
      <c r="B89" s="39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22.5" customHeight="1">
      <c r="A90" s="39"/>
      <c r="B90" s="39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22.5" customHeight="1">
      <c r="A91" s="39"/>
      <c r="B91" s="3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22.5" customHeight="1">
      <c r="A92" s="39"/>
      <c r="B92" s="39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22.5" customHeight="1">
      <c r="A93" s="39"/>
      <c r="B93" s="39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22.5" customHeight="1">
      <c r="A94" s="39"/>
      <c r="B94" s="39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22.5" customHeight="1">
      <c r="A95" s="39"/>
      <c r="B95" s="3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22.5" customHeight="1">
      <c r="A96" s="39"/>
      <c r="B96" s="39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22.5" customHeight="1">
      <c r="A97" s="39"/>
      <c r="B97" s="39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22.5" customHeight="1">
      <c r="A98" s="39"/>
      <c r="B98" s="39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22.5" customHeight="1">
      <c r="A99" s="39"/>
      <c r="B99" s="3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22.5" customHeight="1">
      <c r="A100" s="39"/>
      <c r="B100" s="39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22.5" customHeight="1">
      <c r="A101" s="39"/>
      <c r="B101" s="39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22.5" customHeight="1">
      <c r="A102" s="39"/>
      <c r="B102" s="39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22.5" customHeight="1">
      <c r="A103" s="39"/>
      <c r="B103" s="39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22.5" customHeight="1">
      <c r="A104" s="39"/>
      <c r="B104" s="39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22.5" customHeight="1">
      <c r="A105" s="39"/>
      <c r="B105" s="39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22.5" customHeight="1">
      <c r="A106" s="39"/>
      <c r="B106" s="39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22.5" customHeight="1">
      <c r="A107" s="39"/>
      <c r="B107" s="3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22.5" customHeight="1">
      <c r="A108" s="39"/>
      <c r="B108" s="39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22.5" customHeight="1">
      <c r="A109" s="39"/>
      <c r="B109" s="39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22.5" customHeight="1">
      <c r="A110" s="39"/>
      <c r="B110" s="3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22.5" customHeight="1">
      <c r="A111" s="39"/>
      <c r="B111" s="3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22.5" customHeight="1">
      <c r="A112" s="39"/>
      <c r="B112" s="3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22.5" customHeight="1">
      <c r="A113" s="39"/>
      <c r="B113" s="3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22.5" customHeight="1">
      <c r="A114" s="39"/>
      <c r="B114" s="3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22.5" customHeight="1">
      <c r="A115" s="39"/>
      <c r="B115" s="3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22.5" customHeight="1">
      <c r="A116" s="39"/>
      <c r="B116" s="3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22.5" customHeight="1">
      <c r="A117" s="39"/>
      <c r="B117" s="3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22.5" customHeight="1">
      <c r="A118" s="39"/>
      <c r="B118" s="3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22.5" customHeight="1">
      <c r="A119" s="39"/>
      <c r="B119" s="3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22.5" customHeight="1">
      <c r="A120" s="39"/>
      <c r="B120" s="3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22.5" customHeight="1">
      <c r="A121" s="39"/>
      <c r="B121" s="3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22.5" customHeight="1">
      <c r="A122" s="39"/>
      <c r="B122" s="3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22.5" customHeight="1">
      <c r="A123" s="39"/>
      <c r="B123" s="3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22.5" customHeight="1">
      <c r="A124" s="39"/>
      <c r="B124" s="3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22.5" customHeight="1">
      <c r="A125" s="39"/>
      <c r="B125" s="3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22.5" customHeight="1">
      <c r="A126" s="39"/>
      <c r="B126" s="3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22.5" customHeight="1">
      <c r="A127" s="39"/>
      <c r="B127" s="3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22.5" customHeight="1">
      <c r="A128" s="39"/>
      <c r="B128" s="3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22.5" customHeight="1">
      <c r="A129" s="39"/>
      <c r="B129" s="3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22.5" customHeight="1">
      <c r="A130" s="39"/>
      <c r="B130" s="3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22.5" customHeight="1">
      <c r="A131" s="39"/>
      <c r="B131" s="3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22.5" customHeight="1">
      <c r="A132" s="39"/>
      <c r="B132" s="3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22.5" customHeight="1">
      <c r="A133" s="39"/>
      <c r="B133" s="3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22.5" customHeight="1">
      <c r="A134" s="39"/>
      <c r="B134" s="3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22.5" customHeight="1">
      <c r="A135" s="39"/>
      <c r="B135" s="3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22.5" customHeight="1">
      <c r="A136" s="39"/>
      <c r="B136" s="3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22.5" customHeight="1">
      <c r="A137" s="39"/>
      <c r="B137" s="3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22.5" customHeight="1">
      <c r="A138" s="39"/>
      <c r="B138" s="3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22.5" customHeight="1">
      <c r="A139" s="39"/>
      <c r="B139" s="3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22.5" customHeight="1">
      <c r="A140" s="39"/>
      <c r="B140" s="3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22.5" customHeight="1">
      <c r="A141" s="39"/>
      <c r="B141" s="3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22.5" customHeight="1">
      <c r="A142" s="39"/>
      <c r="B142" s="3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22.5" customHeight="1">
      <c r="A143" s="39"/>
      <c r="B143" s="3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22.5" customHeight="1">
      <c r="A144" s="39"/>
      <c r="B144" s="3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22.5" customHeight="1">
      <c r="A145" s="39"/>
      <c r="B145" s="3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22.5" customHeight="1">
      <c r="A146" s="39"/>
      <c r="B146" s="3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22.5" customHeight="1">
      <c r="A147" s="39"/>
      <c r="B147" s="3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22.5" customHeight="1">
      <c r="A148" s="39"/>
      <c r="B148" s="3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22.5" customHeight="1">
      <c r="A149" s="39"/>
      <c r="B149" s="3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22.5" customHeight="1">
      <c r="A150" s="39"/>
      <c r="B150" s="3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22.5" customHeight="1">
      <c r="A151" s="39"/>
      <c r="B151" s="3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22.5" customHeight="1">
      <c r="A152" s="39"/>
      <c r="B152" s="3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22.5" customHeight="1">
      <c r="A153" s="39"/>
      <c r="B153" s="3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22.5" customHeight="1">
      <c r="A154" s="39"/>
      <c r="B154" s="3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22.5" customHeight="1">
      <c r="A155" s="39"/>
      <c r="B155" s="3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22.5" customHeight="1">
      <c r="A156" s="39"/>
      <c r="B156" s="3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22.5" customHeight="1">
      <c r="A157" s="39"/>
      <c r="B157" s="3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22.5" customHeight="1">
      <c r="A158" s="39"/>
      <c r="B158" s="3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22.5" customHeight="1">
      <c r="A159" s="39"/>
      <c r="B159" s="3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22.5" customHeight="1">
      <c r="A160" s="39"/>
      <c r="B160" s="3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22.5" customHeight="1">
      <c r="A161" s="39"/>
      <c r="B161" s="39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22.5" customHeight="1">
      <c r="A162" s="39"/>
      <c r="B162" s="3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22.5" customHeight="1">
      <c r="A163" s="39"/>
      <c r="B163" s="3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22.5" customHeight="1">
      <c r="A164" s="39"/>
      <c r="B164" s="3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22.5" customHeight="1">
      <c r="A165" s="39"/>
      <c r="B165" s="39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22.5" customHeight="1">
      <c r="A166" s="39"/>
      <c r="B166" s="3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22.5" customHeight="1">
      <c r="A167" s="39"/>
      <c r="B167" s="39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22.5" customHeight="1">
      <c r="A168" s="39"/>
      <c r="B168" s="3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22.5" customHeight="1">
      <c r="A169" s="39"/>
      <c r="B169" s="3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22.5" customHeight="1">
      <c r="A170" s="39"/>
      <c r="B170" s="3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22.5" customHeight="1">
      <c r="A171" s="39"/>
      <c r="B171" s="3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22.5" customHeight="1">
      <c r="A172" s="39"/>
      <c r="B172" s="3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22.5" customHeight="1">
      <c r="A173" s="39"/>
      <c r="B173" s="3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22.5" customHeight="1">
      <c r="A174" s="39"/>
      <c r="B174" s="3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22.5" customHeight="1">
      <c r="A175" s="39"/>
      <c r="B175" s="3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22.5" customHeight="1">
      <c r="A176" s="39"/>
      <c r="B176" s="3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22.5" customHeight="1">
      <c r="A177" s="39"/>
      <c r="B177" s="3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22.5" customHeight="1">
      <c r="A178" s="39"/>
      <c r="B178" s="3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22.5" customHeight="1">
      <c r="A179" s="39"/>
      <c r="B179" s="3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22.5" customHeight="1">
      <c r="A180" s="39"/>
      <c r="B180" s="3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22.5" customHeight="1">
      <c r="A181" s="39"/>
      <c r="B181" s="3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22.5" customHeight="1">
      <c r="A182" s="39"/>
      <c r="B182" s="3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22.5" customHeight="1">
      <c r="A183" s="39"/>
      <c r="B183" s="3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22.5" customHeight="1">
      <c r="A184" s="39"/>
      <c r="B184" s="3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22.5" customHeight="1">
      <c r="A185" s="39"/>
      <c r="B185" s="3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22.5" customHeight="1">
      <c r="A186" s="39"/>
      <c r="B186" s="3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22.5" customHeight="1">
      <c r="A187" s="39"/>
      <c r="B187" s="3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22.5" customHeight="1">
      <c r="A188" s="39"/>
      <c r="B188" s="3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22.5" customHeight="1">
      <c r="A189" s="39"/>
      <c r="B189" s="3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22.5" customHeight="1">
      <c r="A190" s="39"/>
      <c r="B190" s="3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22.5" customHeight="1">
      <c r="A191" s="39"/>
      <c r="B191" s="3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22.5" customHeight="1">
      <c r="A192" s="39"/>
      <c r="B192" s="3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22.5" customHeight="1">
      <c r="A193" s="39"/>
      <c r="B193" s="3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22.5" customHeight="1">
      <c r="A194" s="39"/>
      <c r="B194" s="3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22.5" customHeight="1">
      <c r="A195" s="39"/>
      <c r="B195" s="3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22.5" customHeight="1">
      <c r="A196" s="39"/>
      <c r="B196" s="3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22.5" customHeight="1">
      <c r="A197" s="39"/>
      <c r="B197" s="3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22.5" customHeight="1">
      <c r="A198" s="39"/>
      <c r="B198" s="3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22.5" customHeight="1">
      <c r="A199" s="39"/>
      <c r="B199" s="3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22.5" customHeight="1">
      <c r="A200" s="39"/>
      <c r="B200" s="3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22.5" customHeight="1">
      <c r="A201" s="39"/>
      <c r="B201" s="3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22.5" customHeight="1">
      <c r="A202" s="39"/>
      <c r="B202" s="3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22.5" customHeight="1">
      <c r="A203" s="39"/>
      <c r="B203" s="3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22.5" customHeight="1">
      <c r="A204" s="39"/>
      <c r="B204" s="39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22.5" customHeight="1">
      <c r="A205" s="39"/>
      <c r="B205" s="39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22.5" customHeight="1">
      <c r="A206" s="39"/>
      <c r="B206" s="39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22.5" customHeight="1">
      <c r="A207" s="39"/>
      <c r="B207" s="3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22.5" customHeight="1">
      <c r="A208" s="39"/>
      <c r="B208" s="3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22.5" customHeight="1">
      <c r="A209" s="39"/>
      <c r="B209" s="39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22.5" customHeight="1">
      <c r="A210" s="39"/>
      <c r="B210" s="39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22.5" customHeight="1">
      <c r="A211" s="39"/>
      <c r="B211" s="39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22.5" customHeight="1">
      <c r="A212" s="39"/>
      <c r="B212" s="3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22.5" customHeight="1">
      <c r="A213" s="39"/>
      <c r="B213" s="3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22.5" customHeight="1">
      <c r="A214" s="39"/>
      <c r="B214" s="3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22.5" customHeight="1">
      <c r="A215" s="39"/>
      <c r="B215" s="3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22.5" customHeight="1">
      <c r="A216" s="39"/>
      <c r="B216" s="3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22.5" customHeight="1">
      <c r="A217" s="39"/>
      <c r="B217" s="3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22.5" customHeight="1">
      <c r="A218" s="39"/>
      <c r="B218" s="3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22.5" customHeight="1">
      <c r="A219" s="39"/>
      <c r="B219" s="3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22.5" customHeight="1">
      <c r="A220" s="39"/>
      <c r="B220" s="3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22.5" customHeight="1">
      <c r="A221" s="39"/>
      <c r="B221" s="3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22.5" customHeight="1">
      <c r="A222" s="39"/>
      <c r="B222" s="3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A3:B3"/>
    <mergeCell ref="D3:I3"/>
    <mergeCell ref="G4:I6"/>
    <mergeCell ref="D10:I10"/>
  </mergeCells>
  <conditionalFormatting sqref="G20:G2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>
    <dataValidation type="list" allowBlank="1" showErrorMessage="1" sqref="B6">
      <formula1>"USD_Tether,USD_Tehran,USD_Istanbul,USD_Sulaymaniyah,AED_Dubai"</formula1>
    </dataValidation>
    <dataValidation type="list" allowBlank="1" sqref="B11 B13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88"/>
    <col customWidth="1" min="2" max="2" width="19.25"/>
    <col customWidth="1" min="3" max="3" width="15.38"/>
    <col customWidth="1" min="4" max="5" width="11.75"/>
    <col customWidth="1" min="6" max="6" width="42.0"/>
  </cols>
  <sheetData>
    <row r="1" ht="43.5" customHeight="1">
      <c r="A1" s="40" t="s">
        <v>36</v>
      </c>
      <c r="B1" s="2"/>
      <c r="C1" s="2"/>
      <c r="D1" s="2"/>
      <c r="E1" s="2"/>
      <c r="F1" s="3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ht="43.5" customHeight="1">
      <c r="A2" s="42" t="s">
        <v>37</v>
      </c>
      <c r="B2" s="42" t="s">
        <v>38</v>
      </c>
      <c r="C2" s="42" t="s">
        <v>39</v>
      </c>
      <c r="D2" s="42" t="s">
        <v>24</v>
      </c>
      <c r="E2" s="42" t="s">
        <v>25</v>
      </c>
      <c r="F2" s="42" t="s">
        <v>16</v>
      </c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ht="43.5" customHeight="1">
      <c r="A3" s="5" t="s">
        <v>40</v>
      </c>
      <c r="B3" s="5" t="s">
        <v>41</v>
      </c>
      <c r="C3" s="44" t="s">
        <v>42</v>
      </c>
      <c r="D3" s="29">
        <f t="array" ref="D3">IFERROR(XLOOKUP(A3,Daily_Rate_Input!$B$3:$B$7,Daily_Rate_Input!$C$3:$C$7),"")</f>
        <v>3.665</v>
      </c>
      <c r="E3" s="29">
        <f t="array" ref="E3">IFERROR(XLOOKUP(A3,Daily_Rate_Input!$B$3:$B$7,Daily_Rate_Input!$D$3:$D$7),"")</f>
        <v>3.67</v>
      </c>
      <c r="F3" s="31" t="str">
        <f t="array" ref="F3">IFERROR(XLOOKUP(A3,Daily_Rate_Input!$B$3:$B$7,Daily_Rate_Input!$E$3:$E$7),"")</f>
        <v>Paste/overwrite this block daily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ht="43.5" customHeight="1">
      <c r="A4" s="5" t="s">
        <v>43</v>
      </c>
      <c r="B4" s="5" t="s">
        <v>44</v>
      </c>
      <c r="C4" s="44" t="s">
        <v>45</v>
      </c>
      <c r="D4" s="29">
        <f t="array" ref="D4">IFERROR(XLOOKUP(A4,Daily_Rate_Input!$B$3:$B$7,Daily_Rate_Input!$C$3:$C$7),"")</f>
        <v>3.665</v>
      </c>
      <c r="E4" s="29">
        <f t="array" ref="E4">IFERROR(XLOOKUP(A4,Daily_Rate_Input!$B$3:$B$7,Daily_Rate_Input!$D$3:$D$7),"")</f>
        <v>3.675</v>
      </c>
      <c r="F4" s="31" t="str">
        <f t="array" ref="F4">IFERROR(XLOOKUP(A4,Daily_Rate_Input!$B$3:$B$7,Daily_Rate_Input!$E$3:$E$7),"")</f>
        <v/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ht="43.5" customHeight="1">
      <c r="A5" s="5" t="s">
        <v>46</v>
      </c>
      <c r="B5" s="5" t="s">
        <v>9</v>
      </c>
      <c r="C5" s="44" t="s">
        <v>47</v>
      </c>
      <c r="D5" s="29">
        <f t="array" ref="D5">IFERROR(XLOOKUP(A5,Daily_Rate_Input!$B$3:$B$7,Daily_Rate_Input!$C$3:$C$7),"")</f>
        <v>3.679</v>
      </c>
      <c r="E5" s="29">
        <f t="array" ref="E5">IFERROR(XLOOKUP(A5,Daily_Rate_Input!$B$3:$B$7,Daily_Rate_Input!$D$3:$D$7),"")</f>
        <v>3.685</v>
      </c>
      <c r="F5" s="31" t="str">
        <f t="array" ref="F5">IFERROR(XLOOKUP(A5,Daily_Rate_Input!$B$3:$B$7,Daily_Rate_Input!$E$3:$E$7),"")</f>
        <v/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ht="43.5" customHeight="1">
      <c r="A6" s="5" t="s">
        <v>48</v>
      </c>
      <c r="B6" s="5" t="s">
        <v>49</v>
      </c>
      <c r="C6" s="44" t="s">
        <v>50</v>
      </c>
      <c r="D6" s="29" t="str">
        <f t="array" ref="D6">IFERROR(XLOOKUP(A6,Daily_Rate_Input!$B$3:$B$7,Daily_Rate_Input!$C$3:$C$7),"")</f>
        <v>-</v>
      </c>
      <c r="E6" s="29" t="str">
        <f t="array" ref="E6">IFERROR(XLOOKUP(A6,Daily_Rate_Input!$B$3:$B$7,Daily_Rate_Input!$D$3:$D$7),"")</f>
        <v>-</v>
      </c>
      <c r="F6" s="31" t="str">
        <f t="array" ref="F6">IFERROR(XLOOKUP(A6,Daily_Rate_Input!$B$3:$B$7,Daily_Rate_Input!$E$3:$E$7),"")</f>
        <v/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ht="43.5" customHeight="1">
      <c r="A7" s="5" t="s">
        <v>51</v>
      </c>
      <c r="B7" s="5" t="s">
        <v>52</v>
      </c>
      <c r="C7" s="44" t="s">
        <v>53</v>
      </c>
      <c r="D7" s="29" t="str">
        <f t="array" ref="D7">IFERROR(XLOOKUP(A7,Daily_Rate_Input!$B$3:$B$7,Daily_Rate_Input!$C$3:$C$7),"")</f>
        <v>-</v>
      </c>
      <c r="E7" s="29" t="str">
        <f t="array" ref="E7">IFERROR(XLOOKUP(A7,Daily_Rate_Input!$B$3:$B$7,Daily_Rate_Input!$D$3:$D$7),"")</f>
        <v>-</v>
      </c>
      <c r="F7" s="31" t="str">
        <f t="array" ref="F7">IFERROR(XLOOKUP(A7,Daily_Rate_Input!$B$3:$B$7,Daily_Rate_Input!$E$3:$E$7),"")</f>
        <v>AED origin; USD Dubai conversion uses Dubai spread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 ht="43.5" customHeight="1">
      <c r="A8" s="45"/>
      <c r="B8" s="45"/>
      <c r="C8" s="45"/>
      <c r="D8" s="45"/>
      <c r="E8" s="45"/>
      <c r="F8" s="45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ht="43.5" customHeight="1">
      <c r="A9" s="45"/>
      <c r="B9" s="45"/>
      <c r="C9" s="45"/>
      <c r="D9" s="45"/>
      <c r="E9" s="45"/>
      <c r="F9" s="45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ht="43.5" customHeight="1">
      <c r="A10" s="45"/>
      <c r="B10" s="45"/>
      <c r="C10" s="45"/>
      <c r="D10" s="45"/>
      <c r="E10" s="45"/>
      <c r="F10" s="45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ht="43.5" customHeight="1">
      <c r="A11" s="45"/>
      <c r="B11" s="45"/>
      <c r="C11" s="45"/>
      <c r="D11" s="45"/>
      <c r="E11" s="45"/>
      <c r="F11" s="45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ht="43.5" customHeight="1">
      <c r="A12" s="45"/>
      <c r="B12" s="45"/>
      <c r="C12" s="45"/>
      <c r="D12" s="45"/>
      <c r="E12" s="45"/>
      <c r="F12" s="45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ht="43.5" customHeight="1">
      <c r="A13" s="45"/>
      <c r="B13" s="45"/>
      <c r="C13" s="45"/>
      <c r="D13" s="45"/>
      <c r="E13" s="45"/>
      <c r="F13" s="45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ht="43.5" customHeight="1">
      <c r="A14" s="45"/>
      <c r="B14" s="45"/>
      <c r="C14" s="45"/>
      <c r="D14" s="45"/>
      <c r="E14" s="45"/>
      <c r="F14" s="45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ht="43.5" customHeight="1">
      <c r="A15" s="45"/>
      <c r="B15" s="45"/>
      <c r="C15" s="45"/>
      <c r="D15" s="45"/>
      <c r="E15" s="45"/>
      <c r="F15" s="45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ht="43.5" customHeight="1">
      <c r="A16" s="45"/>
      <c r="B16" s="45"/>
      <c r="C16" s="45"/>
      <c r="D16" s="45"/>
      <c r="E16" s="45"/>
      <c r="F16" s="45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ht="43.5" customHeight="1">
      <c r="A17" s="45"/>
      <c r="B17" s="45"/>
      <c r="C17" s="45"/>
      <c r="D17" s="45"/>
      <c r="E17" s="45"/>
      <c r="F17" s="45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ht="43.5" customHeight="1">
      <c r="A18" s="45"/>
      <c r="B18" s="45"/>
      <c r="C18" s="45"/>
      <c r="D18" s="45"/>
      <c r="E18" s="45"/>
      <c r="F18" s="45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ht="43.5" customHeight="1">
      <c r="A19" s="45"/>
      <c r="B19" s="45"/>
      <c r="C19" s="45"/>
      <c r="D19" s="45"/>
      <c r="E19" s="45"/>
      <c r="F19" s="45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ht="43.5" customHeight="1">
      <c r="A20" s="45"/>
      <c r="B20" s="45"/>
      <c r="C20" s="45"/>
      <c r="D20" s="45"/>
      <c r="E20" s="45"/>
      <c r="F20" s="45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ht="43.5" customHeight="1">
      <c r="A21" s="45"/>
      <c r="B21" s="45"/>
      <c r="C21" s="45"/>
      <c r="D21" s="45"/>
      <c r="E21" s="45"/>
      <c r="F21" s="45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ht="43.5" customHeight="1">
      <c r="A22" s="45"/>
      <c r="B22" s="45"/>
      <c r="C22" s="45"/>
      <c r="D22" s="45"/>
      <c r="E22" s="45"/>
      <c r="F22" s="45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ht="43.5" customHeight="1">
      <c r="A23" s="45"/>
      <c r="B23" s="45"/>
      <c r="C23" s="45"/>
      <c r="D23" s="45"/>
      <c r="E23" s="45"/>
      <c r="F23" s="45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ht="43.5" customHeight="1">
      <c r="A24" s="45"/>
      <c r="B24" s="45"/>
      <c r="C24" s="45"/>
      <c r="D24" s="45"/>
      <c r="E24" s="45"/>
      <c r="F24" s="45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ht="43.5" customHeight="1">
      <c r="A25" s="45"/>
      <c r="B25" s="45"/>
      <c r="C25" s="45"/>
      <c r="D25" s="45"/>
      <c r="E25" s="45"/>
      <c r="F25" s="45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ht="43.5" customHeight="1">
      <c r="A26" s="45"/>
      <c r="B26" s="45"/>
      <c r="C26" s="45"/>
      <c r="D26" s="45"/>
      <c r="E26" s="45"/>
      <c r="F26" s="45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ht="43.5" customHeight="1">
      <c r="A27" s="45"/>
      <c r="B27" s="45"/>
      <c r="C27" s="45"/>
      <c r="D27" s="45"/>
      <c r="E27" s="45"/>
      <c r="F27" s="45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ht="43.5" customHeight="1">
      <c r="A28" s="45"/>
      <c r="B28" s="45"/>
      <c r="C28" s="45"/>
      <c r="D28" s="45"/>
      <c r="E28" s="45"/>
      <c r="F28" s="45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ht="43.5" customHeight="1">
      <c r="A29" s="45"/>
      <c r="B29" s="45"/>
      <c r="C29" s="45"/>
      <c r="D29" s="45"/>
      <c r="E29" s="45"/>
      <c r="F29" s="45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ht="43.5" customHeight="1">
      <c r="A30" s="45"/>
      <c r="B30" s="45"/>
      <c r="C30" s="45"/>
      <c r="D30" s="45"/>
      <c r="E30" s="45"/>
      <c r="F30" s="45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ht="43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ht="43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ht="43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ht="43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ht="43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ht="43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ht="43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ht="43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ht="43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ht="43.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ht="43.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ht="43.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ht="43.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ht="43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ht="43.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ht="43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ht="43.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ht="43.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ht="43.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ht="43.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ht="43.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ht="43.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ht="43.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ht="43.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ht="43.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ht="43.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ht="43.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ht="43.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ht="43.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ht="43.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ht="43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ht="43.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ht="43.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ht="43.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ht="43.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ht="43.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ht="43.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ht="43.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ht="43.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ht="43.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ht="43.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ht="43.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ht="43.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ht="43.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ht="43.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ht="43.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ht="43.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ht="43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ht="43.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ht="43.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ht="43.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ht="43.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ht="43.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ht="43.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ht="43.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ht="43.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 ht="43.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 ht="43.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 ht="43.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ht="43.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 ht="43.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ht="43.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ht="43.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ht="43.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ht="43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ht="43.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ht="43.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 ht="43.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 ht="43.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 ht="43.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 ht="43.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  <row r="102" ht="43.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</row>
    <row r="103" ht="43.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</row>
    <row r="104" ht="43.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</row>
    <row r="105" ht="43.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</row>
    <row r="106" ht="43.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</row>
    <row r="107" ht="43.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</row>
    <row r="108" ht="43.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</row>
    <row r="109" ht="43.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</row>
    <row r="110" ht="43.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</row>
    <row r="111" ht="43.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</row>
    <row r="112" ht="43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</row>
    <row r="113" ht="43.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</row>
    <row r="114" ht="43.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</row>
    <row r="115" ht="43.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</row>
    <row r="116" ht="43.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</row>
    <row r="117" ht="43.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 ht="43.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 ht="43.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 ht="43.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1" ht="43.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</row>
    <row r="122" ht="43.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</row>
    <row r="123" ht="43.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</row>
    <row r="124" ht="43.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</row>
    <row r="125" ht="43.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</row>
    <row r="126" ht="43.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</row>
    <row r="127" ht="43.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</row>
    <row r="128" ht="43.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 ht="43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 ht="43.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 ht="43.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 ht="43.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ht="43.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 ht="43.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 ht="43.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</row>
    <row r="136" ht="43.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</row>
    <row r="137" ht="43.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</row>
    <row r="138" ht="43.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</row>
    <row r="139" ht="43.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</row>
    <row r="140" ht="43.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</row>
    <row r="141" ht="43.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</row>
    <row r="142" ht="43.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</row>
    <row r="143" ht="43.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</row>
    <row r="144" ht="43.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</row>
    <row r="145" ht="43.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</row>
    <row r="146" ht="43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</row>
    <row r="147" ht="43.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</row>
    <row r="148" ht="43.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</row>
    <row r="149" ht="43.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</row>
    <row r="150" ht="43.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</row>
    <row r="151" ht="43.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</row>
    <row r="152" ht="43.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</row>
    <row r="153" ht="43.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</row>
    <row r="154" ht="43.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</row>
    <row r="155" ht="43.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</row>
    <row r="156" ht="43.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</row>
    <row r="157" ht="43.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</row>
    <row r="158" ht="43.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</row>
    <row r="159" ht="43.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</row>
    <row r="160" ht="43.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</row>
    <row r="161" ht="43.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</row>
    <row r="162" ht="43.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</row>
    <row r="163" ht="43.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</row>
    <row r="164" ht="43.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</row>
    <row r="165" ht="43.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</row>
    <row r="166" ht="43.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</row>
    <row r="167" ht="43.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</row>
    <row r="168" ht="43.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</row>
    <row r="169" ht="43.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</row>
    <row r="170" ht="43.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</row>
    <row r="171" ht="43.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</row>
    <row r="172" ht="43.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</row>
    <row r="173" ht="43.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</row>
    <row r="174" ht="43.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</row>
    <row r="175" ht="43.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</row>
    <row r="176" ht="43.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</row>
    <row r="177" ht="43.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</row>
    <row r="178" ht="43.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</row>
    <row r="179" ht="43.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</row>
    <row r="180" ht="43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</row>
    <row r="181" ht="43.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</row>
    <row r="182" ht="43.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</row>
    <row r="183" ht="43.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</row>
    <row r="184" ht="43.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</row>
    <row r="185" ht="43.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</row>
    <row r="186" ht="43.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</row>
    <row r="187" ht="43.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</row>
    <row r="188" ht="43.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</row>
    <row r="189" ht="43.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</row>
    <row r="190" ht="43.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</row>
    <row r="191" ht="43.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</row>
    <row r="192" ht="43.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</row>
    <row r="193" ht="43.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</row>
    <row r="194" ht="43.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</row>
    <row r="195" ht="43.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</row>
    <row r="196" ht="43.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</row>
    <row r="197" ht="43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</row>
    <row r="198" ht="43.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</row>
    <row r="199" ht="43.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</row>
    <row r="200" ht="43.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</row>
    <row r="201" ht="43.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</row>
    <row r="202" ht="43.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</row>
    <row r="203" ht="43.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</row>
    <row r="204" ht="43.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</row>
    <row r="205" ht="43.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</row>
    <row r="206" ht="43.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</row>
    <row r="207" ht="43.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</row>
    <row r="208" ht="43.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</row>
    <row r="209" ht="43.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</row>
    <row r="210" ht="43.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</row>
    <row r="211" ht="43.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</row>
    <row r="212" ht="43.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</row>
    <row r="213" ht="43.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</row>
    <row r="214" ht="43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</row>
    <row r="215" ht="43.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</row>
    <row r="216" ht="43.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</row>
    <row r="217" ht="43.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</row>
    <row r="218" ht="43.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</row>
    <row r="219" ht="43.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</row>
    <row r="220" ht="43.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10.38"/>
    <col customWidth="1" min="3" max="3" width="17.75"/>
    <col customWidth="1" min="4" max="4" width="13.0"/>
    <col customWidth="1" min="5" max="5" width="11.25"/>
    <col customWidth="1" min="6" max="21" width="26.0"/>
  </cols>
  <sheetData>
    <row r="1" ht="33.0" customHeight="1">
      <c r="A1" s="1" t="s">
        <v>54</v>
      </c>
      <c r="B1" s="2"/>
      <c r="C1" s="2"/>
      <c r="D1" s="2"/>
      <c r="E1" s="3"/>
      <c r="F1" s="46"/>
      <c r="G1" s="46"/>
      <c r="H1" s="46"/>
      <c r="I1" s="46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ht="33.0" customHeight="1">
      <c r="A2" s="8" t="s">
        <v>55</v>
      </c>
      <c r="B2" s="8" t="s">
        <v>56</v>
      </c>
      <c r="C2" s="8" t="s">
        <v>57</v>
      </c>
      <c r="D2" s="8" t="s">
        <v>58</v>
      </c>
      <c r="E2" s="8" t="s">
        <v>59</v>
      </c>
      <c r="F2" s="48"/>
      <c r="G2" s="48"/>
      <c r="H2" s="48"/>
      <c r="I2" s="48"/>
    </row>
    <row r="3" ht="33.0" customHeight="1">
      <c r="A3" s="5" t="s">
        <v>60</v>
      </c>
      <c r="B3" s="31">
        <v>0.007</v>
      </c>
      <c r="C3" s="31"/>
      <c r="D3" s="31" t="s">
        <v>19</v>
      </c>
      <c r="E3" s="31">
        <f t="shared" ref="E3:E5" si="1">IF(D3="Yes",C3,B3)</f>
        <v>0.007</v>
      </c>
      <c r="F3" s="48"/>
      <c r="G3" s="48"/>
      <c r="H3" s="48"/>
      <c r="I3" s="48"/>
    </row>
    <row r="4" ht="33.0" customHeight="1">
      <c r="A4" s="5" t="s">
        <v>61</v>
      </c>
      <c r="B4" s="31">
        <v>0.005</v>
      </c>
      <c r="C4" s="31"/>
      <c r="D4" s="31" t="s">
        <v>19</v>
      </c>
      <c r="E4" s="31">
        <f t="shared" si="1"/>
        <v>0.005</v>
      </c>
      <c r="F4" s="48"/>
      <c r="G4" s="48"/>
      <c r="H4" s="48"/>
      <c r="I4" s="48"/>
    </row>
    <row r="5" ht="33.0" customHeight="1">
      <c r="A5" s="5" t="s">
        <v>62</v>
      </c>
      <c r="B5" s="31">
        <v>0.015</v>
      </c>
      <c r="C5" s="31"/>
      <c r="D5" s="31" t="s">
        <v>19</v>
      </c>
      <c r="E5" s="31">
        <f t="shared" si="1"/>
        <v>0.015</v>
      </c>
      <c r="F5" s="48"/>
      <c r="G5" s="48"/>
      <c r="H5" s="48"/>
      <c r="I5" s="48"/>
    </row>
    <row r="6" ht="33.0" customHeight="1">
      <c r="A6" s="48"/>
      <c r="B6" s="48"/>
      <c r="C6" s="48"/>
      <c r="D6" s="48"/>
      <c r="E6" s="48"/>
      <c r="F6" s="48"/>
      <c r="G6" s="48"/>
      <c r="H6" s="48"/>
      <c r="I6" s="48"/>
    </row>
    <row r="7" ht="33.0" customHeight="1">
      <c r="A7" s="48"/>
      <c r="B7" s="48"/>
      <c r="C7" s="48"/>
      <c r="D7" s="48"/>
      <c r="E7" s="48"/>
      <c r="F7" s="48"/>
      <c r="G7" s="48"/>
      <c r="H7" s="48"/>
      <c r="I7" s="48"/>
    </row>
    <row r="8" ht="33.0" customHeight="1">
      <c r="A8" s="48"/>
      <c r="B8" s="48"/>
      <c r="C8" s="48"/>
      <c r="D8" s="48"/>
      <c r="E8" s="48"/>
      <c r="F8" s="48"/>
      <c r="G8" s="48"/>
      <c r="H8" s="48"/>
      <c r="I8" s="48"/>
    </row>
    <row r="9" ht="33.0" customHeight="1">
      <c r="A9" s="48"/>
      <c r="B9" s="48"/>
      <c r="C9" s="48"/>
      <c r="D9" s="48"/>
      <c r="E9" s="48"/>
      <c r="F9" s="48"/>
      <c r="G9" s="48"/>
      <c r="H9" s="48"/>
      <c r="I9" s="48"/>
    </row>
    <row r="10" ht="33.0" customHeight="1">
      <c r="A10" s="48"/>
      <c r="B10" s="48"/>
      <c r="C10" s="48"/>
      <c r="D10" s="48"/>
      <c r="E10" s="48"/>
      <c r="F10" s="48"/>
      <c r="G10" s="48"/>
      <c r="H10" s="48"/>
      <c r="I10" s="48"/>
    </row>
    <row r="11" ht="33.0" customHeight="1">
      <c r="A11" s="48"/>
      <c r="B11" s="48"/>
      <c r="C11" s="48"/>
      <c r="D11" s="48"/>
      <c r="E11" s="48"/>
      <c r="F11" s="48"/>
      <c r="G11" s="48"/>
      <c r="H11" s="48"/>
      <c r="I11" s="48"/>
    </row>
    <row r="12" ht="33.0" customHeight="1">
      <c r="A12" s="48"/>
      <c r="B12" s="48"/>
      <c r="C12" s="48"/>
      <c r="D12" s="48"/>
      <c r="E12" s="48"/>
      <c r="F12" s="48"/>
      <c r="G12" s="48"/>
      <c r="H12" s="48"/>
      <c r="I12" s="48"/>
    </row>
    <row r="13" ht="33.0" customHeight="1">
      <c r="A13" s="48"/>
      <c r="B13" s="48"/>
      <c r="C13" s="48"/>
      <c r="D13" s="48"/>
      <c r="E13" s="48"/>
      <c r="F13" s="48"/>
      <c r="G13" s="48"/>
      <c r="H13" s="48"/>
      <c r="I13" s="48"/>
    </row>
    <row r="14" ht="33.0" customHeight="1">
      <c r="A14" s="48"/>
      <c r="B14" s="48"/>
      <c r="C14" s="48"/>
      <c r="D14" s="48"/>
      <c r="E14" s="48"/>
      <c r="F14" s="48"/>
      <c r="G14" s="48"/>
      <c r="H14" s="48"/>
      <c r="I14" s="48"/>
    </row>
    <row r="15" ht="33.0" customHeight="1">
      <c r="A15" s="48"/>
      <c r="B15" s="48"/>
      <c r="C15" s="48"/>
      <c r="D15" s="48"/>
      <c r="E15" s="48"/>
      <c r="F15" s="48"/>
      <c r="G15" s="48"/>
      <c r="H15" s="48"/>
      <c r="I15" s="48"/>
    </row>
    <row r="16" ht="33.0" customHeight="1">
      <c r="A16" s="48"/>
      <c r="B16" s="48"/>
      <c r="C16" s="48"/>
      <c r="D16" s="48"/>
      <c r="E16" s="48"/>
      <c r="F16" s="48"/>
      <c r="G16" s="48"/>
      <c r="H16" s="48"/>
      <c r="I16" s="48"/>
    </row>
    <row r="17" ht="33.0" customHeight="1">
      <c r="A17" s="48"/>
      <c r="B17" s="48"/>
      <c r="C17" s="48"/>
      <c r="D17" s="48"/>
      <c r="E17" s="48"/>
      <c r="F17" s="48"/>
      <c r="G17" s="48"/>
      <c r="H17" s="48"/>
      <c r="I17" s="48"/>
    </row>
    <row r="18" ht="33.0" customHeight="1">
      <c r="A18" s="48"/>
      <c r="B18" s="48"/>
      <c r="C18" s="48"/>
      <c r="D18" s="48"/>
      <c r="E18" s="48"/>
      <c r="F18" s="48"/>
      <c r="G18" s="48"/>
      <c r="H18" s="48"/>
      <c r="I18" s="48"/>
    </row>
    <row r="19" ht="33.0" customHeight="1">
      <c r="A19" s="48"/>
      <c r="B19" s="48"/>
      <c r="C19" s="48"/>
      <c r="D19" s="48"/>
      <c r="E19" s="48"/>
      <c r="F19" s="48"/>
      <c r="G19" s="48"/>
      <c r="H19" s="48"/>
      <c r="I19" s="48"/>
    </row>
    <row r="20" ht="33.0" customHeight="1">
      <c r="A20" s="48"/>
      <c r="B20" s="48"/>
      <c r="C20" s="48"/>
      <c r="D20" s="48"/>
      <c r="E20" s="48"/>
      <c r="F20" s="48"/>
      <c r="G20" s="48"/>
      <c r="H20" s="48"/>
      <c r="I20" s="48"/>
    </row>
    <row r="21" ht="33.0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ht="33.0" customHeight="1">
      <c r="A22" s="48"/>
      <c r="B22" s="48"/>
      <c r="C22" s="48"/>
      <c r="D22" s="48"/>
      <c r="E22" s="48"/>
      <c r="F22" s="48"/>
      <c r="G22" s="48"/>
      <c r="H22" s="48"/>
      <c r="I22" s="48"/>
    </row>
    <row r="23" ht="33.0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ht="33.0" customHeight="1">
      <c r="A24" s="48"/>
      <c r="B24" s="48"/>
      <c r="C24" s="48"/>
      <c r="D24" s="48"/>
      <c r="E24" s="48"/>
      <c r="F24" s="48"/>
      <c r="G24" s="48"/>
      <c r="H24" s="48"/>
      <c r="I24" s="48"/>
    </row>
    <row r="25" ht="33.0" customHeight="1">
      <c r="A25" s="48"/>
      <c r="B25" s="48"/>
      <c r="C25" s="48"/>
      <c r="D25" s="48"/>
      <c r="E25" s="48"/>
      <c r="F25" s="48"/>
      <c r="G25" s="48"/>
      <c r="H25" s="48"/>
      <c r="I25" s="48"/>
    </row>
    <row r="26" ht="33.0" customHeight="1">
      <c r="A26" s="48"/>
      <c r="B26" s="48"/>
      <c r="C26" s="48"/>
      <c r="D26" s="48"/>
      <c r="E26" s="48"/>
      <c r="F26" s="48"/>
      <c r="G26" s="48"/>
      <c r="H26" s="48"/>
      <c r="I26" s="48"/>
    </row>
    <row r="27" ht="33.0" customHeight="1">
      <c r="A27" s="48"/>
      <c r="B27" s="48"/>
      <c r="C27" s="48"/>
      <c r="D27" s="48"/>
      <c r="E27" s="48"/>
      <c r="F27" s="48"/>
      <c r="G27" s="48"/>
      <c r="H27" s="48"/>
      <c r="I27" s="48"/>
    </row>
    <row r="28" ht="33.0" customHeight="1">
      <c r="A28" s="48"/>
      <c r="B28" s="48"/>
      <c r="C28" s="48"/>
      <c r="D28" s="48"/>
      <c r="E28" s="48"/>
      <c r="F28" s="48"/>
      <c r="G28" s="48"/>
      <c r="H28" s="48"/>
      <c r="I28" s="48"/>
    </row>
    <row r="29" ht="33.0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ht="33.0" customHeight="1"/>
    <row r="31" ht="33.0" customHeight="1"/>
    <row r="32" ht="33.0" customHeight="1"/>
    <row r="33" ht="33.0" customHeight="1"/>
    <row r="34" ht="33.0" customHeight="1"/>
    <row r="35" ht="33.0" customHeight="1"/>
    <row r="36" ht="33.0" customHeight="1"/>
    <row r="37" ht="33.0" customHeight="1"/>
    <row r="38" ht="33.0" customHeight="1"/>
    <row r="39" ht="33.0" customHeight="1"/>
    <row r="40" ht="33.0" customHeight="1"/>
    <row r="41" ht="33.0" customHeight="1"/>
    <row r="42" ht="33.0" customHeight="1"/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D3:D5">
      <formula1>"No,Yes"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18.63"/>
    <col customWidth="1" min="7" max="21" width="8.88"/>
  </cols>
  <sheetData>
    <row r="1" ht="45.0" customHeight="1">
      <c r="A1" s="1" t="s">
        <v>63</v>
      </c>
      <c r="B1" s="2"/>
      <c r="C1" s="2"/>
      <c r="D1" s="2"/>
      <c r="E1" s="2"/>
      <c r="F1" s="3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ht="45.0" customHeight="1">
      <c r="A2" s="8" t="s">
        <v>64</v>
      </c>
      <c r="B2" s="8" t="s">
        <v>41</v>
      </c>
      <c r="C2" s="8" t="s">
        <v>44</v>
      </c>
      <c r="D2" s="8" t="s">
        <v>9</v>
      </c>
      <c r="E2" s="8" t="s">
        <v>49</v>
      </c>
      <c r="F2" s="8" t="s">
        <v>65</v>
      </c>
    </row>
    <row r="3" ht="45.0" customHeight="1">
      <c r="A3" s="49" t="s">
        <v>41</v>
      </c>
      <c r="B3" s="31">
        <f t="array" ref="B3">iferror(IF(LEFT($A3,4)="AED_",(XLOOKUP(SUBSTITUTE(B$2,"USD_",""),Daily_Rates!$A$3:$A$7,Daily_Rates!$E$3:$E$7)-XLOOKUP(SUBSTITUTE(B$2,"USD_",""),Daily_Rates!$A$3:$A$7,Daily_Rates!$D$3:$D$7))/XLOOKUP(SUBSTITUTE(B$2,"USD_",""),Daily_Rates!$A$3:$A$7,Daily_Rates!$D$3:$D$7),IF($A3=B$2,0,(XLOOKUP(SUBSTITUTE(B$2,"USD_",""),Daily_Rates!$A$3:$A$7,Daily_Rates!$E$3:$E$7)-XLOOKUP(SUBSTITUTE($A3,"USD_",""),Daily_Rates!$A$3:$A$7,Daily_Rates!$D$3:$D$7))/XLOOKUP(SUBSTITUTE($A3,"USD_",""),Daily_Rates!$A$3:$A$7,Daily_Rates!$D$3:$D$7))),"")</f>
        <v>0</v>
      </c>
      <c r="C3" s="31">
        <f t="array" ref="C3">iferror(IF(LEFT($A3,4)="AED_",(XLOOKUP(SUBSTITUTE(C$2,"USD_",""),Daily_Rates!$A$3:$A$7,Daily_Rates!$E$3:$E$7)-XLOOKUP(SUBSTITUTE(C$2,"USD_",""),Daily_Rates!$A$3:$A$7,Daily_Rates!$D$3:$D$7))/XLOOKUP(SUBSTITUTE(C$2,"USD_",""),Daily_Rates!$A$3:$A$7,Daily_Rates!$D$3:$D$7),IF($A3=C$2,0,(XLOOKUP(SUBSTITUTE(C$2,"USD_",""),Daily_Rates!$A$3:$A$7,Daily_Rates!$E$3:$E$7)-XLOOKUP(SUBSTITUTE($A3,"USD_",""),Daily_Rates!$A$3:$A$7,Daily_Rates!$D$3:$D$7))/XLOOKUP(SUBSTITUTE($A3,"USD_",""),Daily_Rates!$A$3:$A$7,Daily_Rates!$D$3:$D$7))),"")</f>
        <v>0.00272851296</v>
      </c>
      <c r="D3" s="31">
        <f t="array" ref="D3">iferror(IF(LEFT($A3,4)="AED_",(XLOOKUP(SUBSTITUTE(D$2,"USD_",""),Daily_Rates!$A$3:$A$7,Daily_Rates!$E$3:$E$7)-XLOOKUP(SUBSTITUTE(D$2,"USD_",""),Daily_Rates!$A$3:$A$7,Daily_Rates!$D$3:$D$7))/XLOOKUP(SUBSTITUTE(D$2,"USD_",""),Daily_Rates!$A$3:$A$7,Daily_Rates!$D$3:$D$7),IF($A3=D$2,0,(XLOOKUP(SUBSTITUTE(D$2,"USD_",""),Daily_Rates!$A$3:$A$7,Daily_Rates!$E$3:$E$7)-XLOOKUP(SUBSTITUTE($A3,"USD_",""),Daily_Rates!$A$3:$A$7,Daily_Rates!$D$3:$D$7))/XLOOKUP(SUBSTITUTE($A3,"USD_",""),Daily_Rates!$A$3:$A$7,Daily_Rates!$D$3:$D$7))),"")</f>
        <v>0.005457025921</v>
      </c>
      <c r="E3" s="31" t="str">
        <f t="array" ref="E3">iferror(IF(LEFT($A3,4)="AED_",(XLOOKUP(SUBSTITUTE(E$2,"USD_",""),Daily_Rates!$A$3:$A$7,Daily_Rates!$E$3:$E$7)-XLOOKUP(SUBSTITUTE(E$2,"USD_",""),Daily_Rates!$A$3:$A$7,Daily_Rates!$D$3:$D$7))/XLOOKUP(SUBSTITUTE(E$2,"USD_",""),Daily_Rates!$A$3:$A$7,Daily_Rates!$D$3:$D$7),IF($A3=E$2,0,(XLOOKUP(SUBSTITUTE(E$2,"USD_",""),Daily_Rates!$A$3:$A$7,Daily_Rates!$E$3:$E$7)-XLOOKUP(SUBSTITUTE($A3,"USD_",""),Daily_Rates!$A$3:$A$7,Daily_Rates!$D$3:$D$7))/XLOOKUP(SUBSTITUTE($A3,"USD_",""),Daily_Rates!$A$3:$A$7,Daily_Rates!$D$3:$D$7))),"")</f>
        <v/>
      </c>
      <c r="F3" s="31" t="str">
        <f t="array" ref="F3">iferror(IF(LEFT($A3,4)="AED_",(XLOOKUP(SUBSTITUTE(F$2,"USD_",""),Daily_Rates!$A$3:$A$7,Daily_Rates!$E$3:$E$7)-XLOOKUP(SUBSTITUTE(F$2,"USD_",""),Daily_Rates!$A$3:$A$7,Daily_Rates!$D$3:$D$7))/XLOOKUP(SUBSTITUTE(F$2,"USD_",""),Daily_Rates!$A$3:$A$7,Daily_Rates!$D$3:$D$7),IF($A3=F$2,0,(XLOOKUP(SUBSTITUTE(F$2,"USD_",""),Daily_Rates!$A$3:$A$7,Daily_Rates!$E$3:$E$7)-XLOOKUP(SUBSTITUTE($A3,"USD_",""),Daily_Rates!$A$3:$A$7,Daily_Rates!$D$3:$D$7))/XLOOKUP(SUBSTITUTE($A3,"USD_",""),Daily_Rates!$A$3:$A$7,Daily_Rates!$D$3:$D$7))),"")</f>
        <v/>
      </c>
    </row>
    <row r="4" ht="45.0" customHeight="1">
      <c r="A4" s="49" t="s">
        <v>44</v>
      </c>
      <c r="B4" s="31">
        <f t="array" ref="B4">iferror(IF(LEFT($A4,4)="AED_",(XLOOKUP(SUBSTITUTE(B$2,"USD_",""),Daily_Rates!$A$3:$A$7,Daily_Rates!$E$3:$E$7)-XLOOKUP(SUBSTITUTE(B$2,"USD_",""),Daily_Rates!$A$3:$A$7,Daily_Rates!$D$3:$D$7))/XLOOKUP(SUBSTITUTE(B$2,"USD_",""),Daily_Rates!$A$3:$A$7,Daily_Rates!$D$3:$D$7),IF($A4=B$2,0,(XLOOKUP(SUBSTITUTE(B$2,"USD_",""),Daily_Rates!$A$3:$A$7,Daily_Rates!$E$3:$E$7)-XLOOKUP(SUBSTITUTE($A4,"USD_",""),Daily_Rates!$A$3:$A$7,Daily_Rates!$D$3:$D$7))/XLOOKUP(SUBSTITUTE($A4,"USD_",""),Daily_Rates!$A$3:$A$7,Daily_Rates!$D$3:$D$7))),"")</f>
        <v>0.00136425648</v>
      </c>
      <c r="C4" s="31">
        <f t="array" ref="C4">iferror(IF(LEFT($A4,4)="AED_",(XLOOKUP(SUBSTITUTE(C$2,"USD_",""),Daily_Rates!$A$3:$A$7,Daily_Rates!$E$3:$E$7)-XLOOKUP(SUBSTITUTE(C$2,"USD_",""),Daily_Rates!$A$3:$A$7,Daily_Rates!$D$3:$D$7))/XLOOKUP(SUBSTITUTE(C$2,"USD_",""),Daily_Rates!$A$3:$A$7,Daily_Rates!$D$3:$D$7),IF($A4=C$2,0,(XLOOKUP(SUBSTITUTE(C$2,"USD_",""),Daily_Rates!$A$3:$A$7,Daily_Rates!$E$3:$E$7)-XLOOKUP(SUBSTITUTE($A4,"USD_",""),Daily_Rates!$A$3:$A$7,Daily_Rates!$D$3:$D$7))/XLOOKUP(SUBSTITUTE($A4,"USD_",""),Daily_Rates!$A$3:$A$7,Daily_Rates!$D$3:$D$7))),"")</f>
        <v>0</v>
      </c>
      <c r="D4" s="31">
        <f t="array" ref="D4">iferror(IF(LEFT($A4,4)="AED_",(XLOOKUP(SUBSTITUTE(D$2,"USD_",""),Daily_Rates!$A$3:$A$7,Daily_Rates!$E$3:$E$7)-XLOOKUP(SUBSTITUTE(D$2,"USD_",""),Daily_Rates!$A$3:$A$7,Daily_Rates!$D$3:$D$7))/XLOOKUP(SUBSTITUTE(D$2,"USD_",""),Daily_Rates!$A$3:$A$7,Daily_Rates!$D$3:$D$7),IF($A4=D$2,0,(XLOOKUP(SUBSTITUTE(D$2,"USD_",""),Daily_Rates!$A$3:$A$7,Daily_Rates!$E$3:$E$7)-XLOOKUP(SUBSTITUTE($A4,"USD_",""),Daily_Rates!$A$3:$A$7,Daily_Rates!$D$3:$D$7))/XLOOKUP(SUBSTITUTE($A4,"USD_",""),Daily_Rates!$A$3:$A$7,Daily_Rates!$D$3:$D$7))),"")</f>
        <v>0.005457025921</v>
      </c>
      <c r="E4" s="31" t="str">
        <f t="array" ref="E4">iferror(IF(LEFT($A4,4)="AED_",(XLOOKUP(SUBSTITUTE(E$2,"USD_",""),Daily_Rates!$A$3:$A$7,Daily_Rates!$E$3:$E$7)-XLOOKUP(SUBSTITUTE(E$2,"USD_",""),Daily_Rates!$A$3:$A$7,Daily_Rates!$D$3:$D$7))/XLOOKUP(SUBSTITUTE(E$2,"USD_",""),Daily_Rates!$A$3:$A$7,Daily_Rates!$D$3:$D$7),IF($A4=E$2,0,(XLOOKUP(SUBSTITUTE(E$2,"USD_",""),Daily_Rates!$A$3:$A$7,Daily_Rates!$E$3:$E$7)-XLOOKUP(SUBSTITUTE($A4,"USD_",""),Daily_Rates!$A$3:$A$7,Daily_Rates!$D$3:$D$7))/XLOOKUP(SUBSTITUTE($A4,"USD_",""),Daily_Rates!$A$3:$A$7,Daily_Rates!$D$3:$D$7))),"")</f>
        <v/>
      </c>
      <c r="F4" s="31" t="str">
        <f t="array" ref="F4">iferror(IF(LEFT($A4,4)="AED_",(XLOOKUP(SUBSTITUTE(F$2,"USD_",""),Daily_Rates!$A$3:$A$7,Daily_Rates!$E$3:$E$7)-XLOOKUP(SUBSTITUTE(F$2,"USD_",""),Daily_Rates!$A$3:$A$7,Daily_Rates!$D$3:$D$7))/XLOOKUP(SUBSTITUTE(F$2,"USD_",""),Daily_Rates!$A$3:$A$7,Daily_Rates!$D$3:$D$7),IF($A4=F$2,0,(XLOOKUP(SUBSTITUTE(F$2,"USD_",""),Daily_Rates!$A$3:$A$7,Daily_Rates!$E$3:$E$7)-XLOOKUP(SUBSTITUTE($A4,"USD_",""),Daily_Rates!$A$3:$A$7,Daily_Rates!$D$3:$D$7))/XLOOKUP(SUBSTITUTE($A4,"USD_",""),Daily_Rates!$A$3:$A$7,Daily_Rates!$D$3:$D$7))),"")</f>
        <v/>
      </c>
    </row>
    <row r="5" ht="45.0" customHeight="1">
      <c r="A5" s="49" t="s">
        <v>9</v>
      </c>
      <c r="B5" s="31">
        <f t="array" ref="B5">iferror(IF(LEFT($A5,4)="AED_",(XLOOKUP(SUBSTITUTE(B$2,"USD_",""),Daily_Rates!$A$3:$A$7,Daily_Rates!$E$3:$E$7)-XLOOKUP(SUBSTITUTE(B$2,"USD_",""),Daily_Rates!$A$3:$A$7,Daily_Rates!$D$3:$D$7))/XLOOKUP(SUBSTITUTE(B$2,"USD_",""),Daily_Rates!$A$3:$A$7,Daily_Rates!$D$3:$D$7),IF($A5=B$2,0,(XLOOKUP(SUBSTITUTE(B$2,"USD_",""),Daily_Rates!$A$3:$A$7,Daily_Rates!$E$3:$E$7)-XLOOKUP(SUBSTITUTE($A5,"USD_",""),Daily_Rates!$A$3:$A$7,Daily_Rates!$D$3:$D$7))/XLOOKUP(SUBSTITUTE($A5,"USD_",""),Daily_Rates!$A$3:$A$7,Daily_Rates!$D$3:$D$7))),"")</f>
        <v>-0.002446316934</v>
      </c>
      <c r="C5" s="31">
        <f t="array" ref="C5">iferror(IF(LEFT($A5,4)="AED_",(XLOOKUP(SUBSTITUTE(C$2,"USD_",""),Daily_Rates!$A$3:$A$7,Daily_Rates!$E$3:$E$7)-XLOOKUP(SUBSTITUTE(C$2,"USD_",""),Daily_Rates!$A$3:$A$7,Daily_Rates!$D$3:$D$7))/XLOOKUP(SUBSTITUTE(C$2,"USD_",""),Daily_Rates!$A$3:$A$7,Daily_Rates!$D$3:$D$7),IF($A5=C$2,0,(XLOOKUP(SUBSTITUTE(C$2,"USD_",""),Daily_Rates!$A$3:$A$7,Daily_Rates!$E$3:$E$7)-XLOOKUP(SUBSTITUTE($A5,"USD_",""),Daily_Rates!$A$3:$A$7,Daily_Rates!$D$3:$D$7))/XLOOKUP(SUBSTITUTE($A5,"USD_",""),Daily_Rates!$A$3:$A$7,Daily_Rates!$D$3:$D$7))),"")</f>
        <v>-0.001087251971</v>
      </c>
      <c r="D5" s="31">
        <f t="array" ref="D5">iferror(IF(LEFT($A5,4)="AED_",(XLOOKUP(SUBSTITUTE(D$2,"USD_",""),Daily_Rates!$A$3:$A$7,Daily_Rates!$E$3:$E$7)-XLOOKUP(SUBSTITUTE(D$2,"USD_",""),Daily_Rates!$A$3:$A$7,Daily_Rates!$D$3:$D$7))/XLOOKUP(SUBSTITUTE(D$2,"USD_",""),Daily_Rates!$A$3:$A$7,Daily_Rates!$D$3:$D$7),IF($A5=D$2,0,(XLOOKUP(SUBSTITUTE(D$2,"USD_",""),Daily_Rates!$A$3:$A$7,Daily_Rates!$E$3:$E$7)-XLOOKUP(SUBSTITUTE($A5,"USD_",""),Daily_Rates!$A$3:$A$7,Daily_Rates!$D$3:$D$7))/XLOOKUP(SUBSTITUTE($A5,"USD_",""),Daily_Rates!$A$3:$A$7,Daily_Rates!$D$3:$D$7))),"")</f>
        <v>0</v>
      </c>
      <c r="E5" s="31" t="str">
        <f t="array" ref="E5">iferror(IF(LEFT($A5,4)="AED_",(XLOOKUP(SUBSTITUTE(E$2,"USD_",""),Daily_Rates!$A$3:$A$7,Daily_Rates!$E$3:$E$7)-XLOOKUP(SUBSTITUTE(E$2,"USD_",""),Daily_Rates!$A$3:$A$7,Daily_Rates!$D$3:$D$7))/XLOOKUP(SUBSTITUTE(E$2,"USD_",""),Daily_Rates!$A$3:$A$7,Daily_Rates!$D$3:$D$7),IF($A5=E$2,0,(XLOOKUP(SUBSTITUTE(E$2,"USD_",""),Daily_Rates!$A$3:$A$7,Daily_Rates!$E$3:$E$7)-XLOOKUP(SUBSTITUTE($A5,"USD_",""),Daily_Rates!$A$3:$A$7,Daily_Rates!$D$3:$D$7))/XLOOKUP(SUBSTITUTE($A5,"USD_",""),Daily_Rates!$A$3:$A$7,Daily_Rates!$D$3:$D$7))),"")</f>
        <v/>
      </c>
      <c r="F5" s="31" t="str">
        <f t="array" ref="F5">iferror(IF(LEFT($A5,4)="AED_",(XLOOKUP(SUBSTITUTE(F$2,"USD_",""),Daily_Rates!$A$3:$A$7,Daily_Rates!$E$3:$E$7)-XLOOKUP(SUBSTITUTE(F$2,"USD_",""),Daily_Rates!$A$3:$A$7,Daily_Rates!$D$3:$D$7))/XLOOKUP(SUBSTITUTE(F$2,"USD_",""),Daily_Rates!$A$3:$A$7,Daily_Rates!$D$3:$D$7),IF($A5=F$2,0,(XLOOKUP(SUBSTITUTE(F$2,"USD_",""),Daily_Rates!$A$3:$A$7,Daily_Rates!$E$3:$E$7)-XLOOKUP(SUBSTITUTE($A5,"USD_",""),Daily_Rates!$A$3:$A$7,Daily_Rates!$D$3:$D$7))/XLOOKUP(SUBSTITUTE($A5,"USD_",""),Daily_Rates!$A$3:$A$7,Daily_Rates!$D$3:$D$7))),"")</f>
        <v/>
      </c>
    </row>
    <row r="6" ht="45.0" customHeight="1">
      <c r="A6" s="49" t="s">
        <v>49</v>
      </c>
      <c r="B6" s="31" t="str">
        <f t="array" ref="B6">iferror(IF(LEFT($A6,4)="AED_",(XLOOKUP(SUBSTITUTE(B$2,"USD_",""),Daily_Rates!$A$3:$A$7,Daily_Rates!$E$3:$E$7)-XLOOKUP(SUBSTITUTE(B$2,"USD_",""),Daily_Rates!$A$3:$A$7,Daily_Rates!$D$3:$D$7))/XLOOKUP(SUBSTITUTE(B$2,"USD_",""),Daily_Rates!$A$3:$A$7,Daily_Rates!$D$3:$D$7),IF($A6=B$2,0,(XLOOKUP(SUBSTITUTE(B$2,"USD_",""),Daily_Rates!$A$3:$A$7,Daily_Rates!$E$3:$E$7)-XLOOKUP(SUBSTITUTE($A6,"USD_",""),Daily_Rates!$A$3:$A$7,Daily_Rates!$D$3:$D$7))/XLOOKUP(SUBSTITUTE($A6,"USD_",""),Daily_Rates!$A$3:$A$7,Daily_Rates!$D$3:$D$7))),"")</f>
        <v/>
      </c>
      <c r="C6" s="31" t="str">
        <f t="array" ref="C6">iferror(IF(LEFT($A6,4)="AED_",(XLOOKUP(SUBSTITUTE(C$2,"USD_",""),Daily_Rates!$A$3:$A$7,Daily_Rates!$E$3:$E$7)-XLOOKUP(SUBSTITUTE(C$2,"USD_",""),Daily_Rates!$A$3:$A$7,Daily_Rates!$D$3:$D$7))/XLOOKUP(SUBSTITUTE(C$2,"USD_",""),Daily_Rates!$A$3:$A$7,Daily_Rates!$D$3:$D$7),IF($A6=C$2,0,(XLOOKUP(SUBSTITUTE(C$2,"USD_",""),Daily_Rates!$A$3:$A$7,Daily_Rates!$E$3:$E$7)-XLOOKUP(SUBSTITUTE($A6,"USD_",""),Daily_Rates!$A$3:$A$7,Daily_Rates!$D$3:$D$7))/XLOOKUP(SUBSTITUTE($A6,"USD_",""),Daily_Rates!$A$3:$A$7,Daily_Rates!$D$3:$D$7))),"")</f>
        <v/>
      </c>
      <c r="D6" s="31" t="str">
        <f t="array" ref="D6">iferror(IF(LEFT($A6,4)="AED_",(XLOOKUP(SUBSTITUTE(D$2,"USD_",""),Daily_Rates!$A$3:$A$7,Daily_Rates!$E$3:$E$7)-XLOOKUP(SUBSTITUTE(D$2,"USD_",""),Daily_Rates!$A$3:$A$7,Daily_Rates!$D$3:$D$7))/XLOOKUP(SUBSTITUTE(D$2,"USD_",""),Daily_Rates!$A$3:$A$7,Daily_Rates!$D$3:$D$7),IF($A6=D$2,0,(XLOOKUP(SUBSTITUTE(D$2,"USD_",""),Daily_Rates!$A$3:$A$7,Daily_Rates!$E$3:$E$7)-XLOOKUP(SUBSTITUTE($A6,"USD_",""),Daily_Rates!$A$3:$A$7,Daily_Rates!$D$3:$D$7))/XLOOKUP(SUBSTITUTE($A6,"USD_",""),Daily_Rates!$A$3:$A$7,Daily_Rates!$D$3:$D$7))),"")</f>
        <v/>
      </c>
      <c r="E6" s="31">
        <f t="array" ref="E6">iferror(IF(LEFT($A6,4)="AED_",(XLOOKUP(SUBSTITUTE(E$2,"USD_",""),Daily_Rates!$A$3:$A$7,Daily_Rates!$E$3:$E$7)-XLOOKUP(SUBSTITUTE(E$2,"USD_",""),Daily_Rates!$A$3:$A$7,Daily_Rates!$D$3:$D$7))/XLOOKUP(SUBSTITUTE(E$2,"USD_",""),Daily_Rates!$A$3:$A$7,Daily_Rates!$D$3:$D$7),IF($A6=E$2,0,(XLOOKUP(SUBSTITUTE(E$2,"USD_",""),Daily_Rates!$A$3:$A$7,Daily_Rates!$E$3:$E$7)-XLOOKUP(SUBSTITUTE($A6,"USD_",""),Daily_Rates!$A$3:$A$7,Daily_Rates!$D$3:$D$7))/XLOOKUP(SUBSTITUTE($A6,"USD_",""),Daily_Rates!$A$3:$A$7,Daily_Rates!$D$3:$D$7))),"")</f>
        <v>0</v>
      </c>
      <c r="F6" s="31" t="str">
        <f t="array" ref="F6">iferror(IF(LEFT($A6,4)="AED_",(XLOOKUP(SUBSTITUTE(F$2,"USD_",""),Daily_Rates!$A$3:$A$7,Daily_Rates!$E$3:$E$7)-XLOOKUP(SUBSTITUTE(F$2,"USD_",""),Daily_Rates!$A$3:$A$7,Daily_Rates!$D$3:$D$7))/XLOOKUP(SUBSTITUTE(F$2,"USD_",""),Daily_Rates!$A$3:$A$7,Daily_Rates!$D$3:$D$7),IF($A6=F$2,0,(XLOOKUP(SUBSTITUTE(F$2,"USD_",""),Daily_Rates!$A$3:$A$7,Daily_Rates!$E$3:$E$7)-XLOOKUP(SUBSTITUTE($A6,"USD_",""),Daily_Rates!$A$3:$A$7,Daily_Rates!$D$3:$D$7))/XLOOKUP(SUBSTITUTE($A6,"USD_",""),Daily_Rates!$A$3:$A$7,Daily_Rates!$D$3:$D$7))),"")</f>
        <v/>
      </c>
    </row>
    <row r="7" ht="45.0" customHeight="1">
      <c r="A7" s="49" t="s">
        <v>52</v>
      </c>
      <c r="B7" s="31">
        <f t="array" ref="B7">iferror(IF(LEFT($A7,4)="AED_",(XLOOKUP(SUBSTITUTE(B$2,"USD_",""),Daily_Rates!$A$3:$A$7,Daily_Rates!$E$3:$E$7)-XLOOKUP(SUBSTITUTE(B$2,"USD_",""),Daily_Rates!$A$3:$A$7,Daily_Rates!$D$3:$D$7))/XLOOKUP(SUBSTITUTE(B$2,"USD_",""),Daily_Rates!$A$3:$A$7,Daily_Rates!$D$3:$D$7),IF($A7=B$2,0,(XLOOKUP(SUBSTITUTE(B$2,"USD_",""),Daily_Rates!$A$3:$A$7,Daily_Rates!$E$3:$E$7)-XLOOKUP(SUBSTITUTE($A7,"USD_",""),Daily_Rates!$A$3:$A$7,Daily_Rates!$D$3:$D$7))/XLOOKUP(SUBSTITUTE($A7,"USD_",""),Daily_Rates!$A$3:$A$7,Daily_Rates!$D$3:$D$7))),"")</f>
        <v>0.00136425648</v>
      </c>
      <c r="C7" s="31">
        <f t="array" ref="C7">iferror(IF(LEFT($A7,4)="AED_",(XLOOKUP(SUBSTITUTE(C$2,"USD_",""),Daily_Rates!$A$3:$A$7,Daily_Rates!$E$3:$E$7)-XLOOKUP(SUBSTITUTE(C$2,"USD_",""),Daily_Rates!$A$3:$A$7,Daily_Rates!$D$3:$D$7))/XLOOKUP(SUBSTITUTE(C$2,"USD_",""),Daily_Rates!$A$3:$A$7,Daily_Rates!$D$3:$D$7),IF($A7=C$2,0,(XLOOKUP(SUBSTITUTE(C$2,"USD_",""),Daily_Rates!$A$3:$A$7,Daily_Rates!$E$3:$E$7)-XLOOKUP(SUBSTITUTE($A7,"USD_",""),Daily_Rates!$A$3:$A$7,Daily_Rates!$D$3:$D$7))/XLOOKUP(SUBSTITUTE($A7,"USD_",""),Daily_Rates!$A$3:$A$7,Daily_Rates!$D$3:$D$7))),"")</f>
        <v>0.00272851296</v>
      </c>
      <c r="D7" s="31">
        <f t="array" ref="D7">iferror(IF(LEFT($A7,4)="AED_",(XLOOKUP(SUBSTITUTE(D$2,"USD_",""),Daily_Rates!$A$3:$A$7,Daily_Rates!$E$3:$E$7)-XLOOKUP(SUBSTITUTE(D$2,"USD_",""),Daily_Rates!$A$3:$A$7,Daily_Rates!$D$3:$D$7))/XLOOKUP(SUBSTITUTE(D$2,"USD_",""),Daily_Rates!$A$3:$A$7,Daily_Rates!$D$3:$D$7),IF($A7=D$2,0,(XLOOKUP(SUBSTITUTE(D$2,"USD_",""),Daily_Rates!$A$3:$A$7,Daily_Rates!$E$3:$E$7)-XLOOKUP(SUBSTITUTE($A7,"USD_",""),Daily_Rates!$A$3:$A$7,Daily_Rates!$D$3:$D$7))/XLOOKUP(SUBSTITUTE($A7,"USD_",""),Daily_Rates!$A$3:$A$7,Daily_Rates!$D$3:$D$7))),"")</f>
        <v>0.001630877956</v>
      </c>
      <c r="E7" s="31" t="str">
        <f t="array" ref="E7">iferror(IF(LEFT($A7,4)="AED_",(XLOOKUP(SUBSTITUTE(E$2,"USD_",""),Daily_Rates!$A$3:$A$7,Daily_Rates!$E$3:$E$7)-XLOOKUP(SUBSTITUTE(E$2,"USD_",""),Daily_Rates!$A$3:$A$7,Daily_Rates!$D$3:$D$7))/XLOOKUP(SUBSTITUTE(E$2,"USD_",""),Daily_Rates!$A$3:$A$7,Daily_Rates!$D$3:$D$7),IF($A7=E$2,0,(XLOOKUP(SUBSTITUTE(E$2,"USD_",""),Daily_Rates!$A$3:$A$7,Daily_Rates!$E$3:$E$7)-XLOOKUP(SUBSTITUTE($A7,"USD_",""),Daily_Rates!$A$3:$A$7,Daily_Rates!$D$3:$D$7))/XLOOKUP(SUBSTITUTE($A7,"USD_",""),Daily_Rates!$A$3:$A$7,Daily_Rates!$D$3:$D$7))),"")</f>
        <v/>
      </c>
      <c r="F7" s="31" t="str">
        <f t="array" ref="F7">iferror(IF(LEFT($A7,4)="AED_",(XLOOKUP(SUBSTITUTE(F$2,"USD_",""),Daily_Rates!$A$3:$A$7,Daily_Rates!$E$3:$E$7)-XLOOKUP(SUBSTITUTE(F$2,"USD_",""),Daily_Rates!$A$3:$A$7,Daily_Rates!$D$3:$D$7))/XLOOKUP(SUBSTITUTE(F$2,"USD_",""),Daily_Rates!$A$3:$A$7,Daily_Rates!$D$3:$D$7),IF($A7=F$2,0,(XLOOKUP(SUBSTITUTE(F$2,"USD_",""),Daily_Rates!$A$3:$A$7,Daily_Rates!$E$3:$E$7)-XLOOKUP(SUBSTITUTE($A7,"USD_",""),Daily_Rates!$A$3:$A$7,Daily_Rates!$D$3:$D$7))/XLOOKUP(SUBSTITUTE($A7,"USD_",""),Daily_Rates!$A$3:$A$7,Daily_Rates!$D$3:$D$7))),"")</f>
        <v/>
      </c>
    </row>
    <row r="8" ht="13.5" customHeight="1">
      <c r="A8" s="48"/>
      <c r="B8" s="48"/>
      <c r="C8" s="48"/>
      <c r="D8" s="48"/>
      <c r="E8" s="48"/>
      <c r="F8" s="48"/>
    </row>
    <row r="9" ht="13.5" customHeight="1">
      <c r="A9" s="48"/>
      <c r="B9" s="48"/>
      <c r="C9" s="48"/>
      <c r="D9" s="48"/>
      <c r="E9" s="48"/>
      <c r="F9" s="48"/>
    </row>
    <row r="10" ht="13.5" customHeight="1">
      <c r="A10" s="48"/>
      <c r="B10" s="48"/>
      <c r="C10" s="48"/>
      <c r="D10" s="48"/>
      <c r="E10" s="48"/>
      <c r="F10" s="48"/>
    </row>
    <row r="11" ht="13.5" customHeight="1">
      <c r="A11" s="48"/>
      <c r="B11" s="48"/>
      <c r="C11" s="48"/>
      <c r="D11" s="48"/>
      <c r="E11" s="48"/>
      <c r="F11" s="48"/>
    </row>
    <row r="12" ht="13.5" customHeight="1">
      <c r="A12" s="48"/>
      <c r="B12" s="48"/>
      <c r="C12" s="48"/>
      <c r="D12" s="48"/>
      <c r="E12" s="48"/>
      <c r="F12" s="48"/>
    </row>
    <row r="13" ht="13.5" customHeight="1">
      <c r="A13" s="48"/>
      <c r="B13" s="48"/>
      <c r="C13" s="48"/>
      <c r="D13" s="48"/>
      <c r="E13" s="48"/>
      <c r="F13" s="48"/>
    </row>
    <row r="14" ht="13.5" customHeight="1">
      <c r="A14" s="48"/>
      <c r="B14" s="48"/>
      <c r="C14" s="48"/>
      <c r="D14" s="48"/>
      <c r="E14" s="48"/>
      <c r="F14" s="48"/>
    </row>
    <row r="15" ht="13.5" customHeight="1">
      <c r="A15" s="48"/>
      <c r="B15" s="48"/>
      <c r="C15" s="48"/>
      <c r="D15" s="48"/>
      <c r="E15" s="48"/>
      <c r="F15" s="48"/>
    </row>
    <row r="16" ht="13.5" customHeight="1">
      <c r="A16" s="48"/>
      <c r="B16" s="48"/>
      <c r="C16" s="48"/>
      <c r="D16" s="48"/>
      <c r="E16" s="48"/>
      <c r="F16" s="48"/>
    </row>
    <row r="17" ht="13.5" customHeight="1">
      <c r="A17" s="48"/>
      <c r="B17" s="48"/>
      <c r="C17" s="48"/>
      <c r="D17" s="48"/>
      <c r="E17" s="48"/>
      <c r="F17" s="48"/>
    </row>
    <row r="18" ht="13.5" customHeight="1">
      <c r="A18" s="48"/>
      <c r="B18" s="48"/>
      <c r="C18" s="48"/>
      <c r="D18" s="48"/>
      <c r="E18" s="48"/>
      <c r="F18" s="48"/>
    </row>
    <row r="19" ht="13.5" customHeight="1">
      <c r="A19" s="48"/>
      <c r="B19" s="48"/>
      <c r="C19" s="48"/>
      <c r="D19" s="48"/>
      <c r="E19" s="48"/>
      <c r="F19" s="48"/>
    </row>
    <row r="20" ht="13.5" customHeight="1">
      <c r="A20" s="48"/>
      <c r="B20" s="48"/>
      <c r="C20" s="48"/>
      <c r="D20" s="48"/>
      <c r="E20" s="48"/>
      <c r="F20" s="48"/>
    </row>
    <row r="21" ht="13.5" customHeight="1">
      <c r="A21" s="48"/>
      <c r="B21" s="48"/>
      <c r="C21" s="48"/>
      <c r="D21" s="48"/>
      <c r="E21" s="48"/>
      <c r="F21" s="48"/>
    </row>
    <row r="22" ht="13.5" customHeight="1">
      <c r="A22" s="48"/>
      <c r="B22" s="48"/>
      <c r="C22" s="48"/>
      <c r="D22" s="48"/>
      <c r="E22" s="48"/>
      <c r="F22" s="48"/>
    </row>
    <row r="23" ht="13.5" customHeight="1">
      <c r="A23" s="48"/>
      <c r="B23" s="48"/>
      <c r="C23" s="48"/>
      <c r="D23" s="48"/>
      <c r="E23" s="48"/>
      <c r="F23" s="48"/>
    </row>
    <row r="24" ht="13.5" customHeight="1">
      <c r="A24" s="48"/>
      <c r="B24" s="48"/>
      <c r="C24" s="48"/>
      <c r="D24" s="48"/>
      <c r="E24" s="48"/>
      <c r="F24" s="48"/>
    </row>
    <row r="25" ht="13.5" customHeight="1">
      <c r="A25" s="48"/>
      <c r="B25" s="48"/>
      <c r="C25" s="48"/>
      <c r="D25" s="48"/>
      <c r="E25" s="48"/>
      <c r="F25" s="48"/>
    </row>
    <row r="26" ht="13.5" customHeight="1">
      <c r="A26" s="48"/>
      <c r="B26" s="48"/>
      <c r="C26" s="48"/>
      <c r="D26" s="48"/>
      <c r="E26" s="48"/>
      <c r="F26" s="48"/>
    </row>
    <row r="27" ht="13.5" customHeight="1">
      <c r="A27" s="48"/>
      <c r="B27" s="48"/>
      <c r="C27" s="48"/>
      <c r="D27" s="48"/>
      <c r="E27" s="48"/>
      <c r="F27" s="48"/>
    </row>
    <row r="28" ht="13.5" customHeight="1">
      <c r="A28" s="48"/>
      <c r="B28" s="48"/>
      <c r="C28" s="48"/>
      <c r="D28" s="48"/>
      <c r="E28" s="48"/>
      <c r="F28" s="48"/>
    </row>
    <row r="29" ht="13.5" customHeight="1">
      <c r="A29" s="48"/>
      <c r="B29" s="48"/>
      <c r="C29" s="48"/>
      <c r="D29" s="48"/>
      <c r="E29" s="48"/>
      <c r="F29" s="48"/>
    </row>
    <row r="30" ht="13.5" customHeight="1">
      <c r="A30" s="48"/>
      <c r="B30" s="48"/>
      <c r="C30" s="48"/>
      <c r="D30" s="48"/>
      <c r="E30" s="48"/>
      <c r="F30" s="48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B3:F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7.5"/>
    <col customWidth="1" min="3" max="3" width="12.0"/>
    <col customWidth="1" min="4" max="4" width="20.25"/>
    <col customWidth="1" min="5" max="5" width="22.75"/>
    <col customWidth="1" min="6" max="6" width="19.5"/>
    <col customWidth="1" min="7" max="7" width="15.88"/>
    <col customWidth="1" min="8" max="8" width="19.88"/>
    <col customWidth="1" min="9" max="9" width="46.13"/>
    <col customWidth="1" min="10" max="25" width="8.88"/>
  </cols>
  <sheetData>
    <row r="1" ht="33.0" customHeight="1">
      <c r="A1" s="50" t="s">
        <v>66</v>
      </c>
      <c r="B1" s="2"/>
      <c r="C1" s="2"/>
      <c r="D1" s="2"/>
      <c r="E1" s="2"/>
      <c r="F1" s="2"/>
      <c r="G1" s="2"/>
      <c r="H1" s="2"/>
      <c r="I1" s="3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ht="33.0" customHeight="1">
      <c r="A2" s="8" t="s">
        <v>29</v>
      </c>
      <c r="B2" s="8" t="s">
        <v>30</v>
      </c>
      <c r="C2" s="8" t="s">
        <v>31</v>
      </c>
      <c r="D2" s="8" t="s">
        <v>67</v>
      </c>
      <c r="E2" s="8" t="s">
        <v>68</v>
      </c>
      <c r="F2" s="8" t="s">
        <v>69</v>
      </c>
      <c r="G2" s="8" t="s">
        <v>35</v>
      </c>
      <c r="H2" s="8" t="s">
        <v>10</v>
      </c>
      <c r="I2" s="8" t="s">
        <v>70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33.0" customHeight="1">
      <c r="A3" s="5" t="s">
        <v>71</v>
      </c>
      <c r="B3" s="51" t="s">
        <v>72</v>
      </c>
      <c r="C3" s="5" t="str">
        <f t="shared" ref="C3:C4" si="1">"Yes"</f>
        <v>Yes</v>
      </c>
      <c r="D3" s="31">
        <f t="array" ref="D3">INDEX(Conversion_Matrix!$B$3:$F$7,MATCH(Dashboard!$B$6,Conversion_Matrix!$A$3:$A$7,0),MATCH("USD_Tehran",Conversion_Matrix!$B$2:$F$2,0))</f>
        <v>-0.001087251971</v>
      </c>
      <c r="E3" s="31">
        <f>IF(Dashboard!$B$11="Yes",Dashboard!$B$12,D3)</f>
        <v>-0.001087251971</v>
      </c>
      <c r="F3" s="31">
        <f>Dashboard!$B$7</f>
        <v>0.007</v>
      </c>
      <c r="G3" s="31">
        <f t="shared" ref="G3:G4" si="2">IF(C3="Yes",E3+F3,"")</f>
        <v>0.005912748029</v>
      </c>
      <c r="H3" s="38">
        <f>IF(G3="","",Dashboard!$B$5*G3)</f>
        <v>5912.748029</v>
      </c>
      <c r="I3" s="38" t="s">
        <v>73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33.0" customHeight="1">
      <c r="A4" s="5" t="s">
        <v>74</v>
      </c>
      <c r="B4" s="51" t="s">
        <v>75</v>
      </c>
      <c r="C4" s="5" t="str">
        <f t="shared" si="1"/>
        <v>Yes</v>
      </c>
      <c r="D4" s="31" t="str">
        <f t="array" ref="D4">INDEX(Conversion_Matrix!$B$3:$F$7,MATCH(Dashboard!$B$6,Conversion_Matrix!$A$3:$A$7,0),MATCH("USD_Dubai",Conversion_Matrix!$B$2:$F$2,0))</f>
        <v/>
      </c>
      <c r="E4" s="31" t="str">
        <f>IF(Dashboard!$B$13="Yes",Dashboard!$B$14,D4)</f>
        <v/>
      </c>
      <c r="F4" s="31">
        <f>Dashboard!$B$8</f>
        <v>0.005</v>
      </c>
      <c r="G4" s="31">
        <f t="shared" si="2"/>
        <v>0.005</v>
      </c>
      <c r="H4" s="38">
        <f>IF(G4="","",Dashboard!$B$5*G4)</f>
        <v>5000</v>
      </c>
      <c r="I4" s="38" t="s">
        <v>76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33.0" customHeight="1">
      <c r="A5" s="5" t="s">
        <v>77</v>
      </c>
      <c r="B5" s="51" t="s">
        <v>78</v>
      </c>
      <c r="C5" s="5" t="str">
        <f>IF(Dashboard!$B$6="USD_Istanbul","Yes","No")</f>
        <v>Yes</v>
      </c>
      <c r="D5" s="31">
        <f t="shared" ref="D5:E5" si="3">0</f>
        <v>0</v>
      </c>
      <c r="E5" s="31">
        <f t="shared" si="3"/>
        <v>0</v>
      </c>
      <c r="F5" s="31">
        <f>Dashboard!$B$9</f>
        <v>0.015</v>
      </c>
      <c r="G5" s="31">
        <f>IF(C5="Yes",F5,"")</f>
        <v>0.015</v>
      </c>
      <c r="H5" s="38">
        <f>IF(G5="","",Dashboard!$B$5*G5)</f>
        <v>15000</v>
      </c>
      <c r="I5" s="38" t="s">
        <v>79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13.5" customHeight="1">
      <c r="A6" s="48"/>
      <c r="B6" s="48"/>
      <c r="C6" s="48"/>
      <c r="D6" s="48"/>
      <c r="E6" s="48"/>
      <c r="F6" s="48"/>
      <c r="G6" s="48"/>
      <c r="H6" s="48"/>
      <c r="I6" s="48"/>
    </row>
    <row r="7" ht="13.5" customHeight="1">
      <c r="A7" s="48"/>
      <c r="B7" s="48"/>
      <c r="C7" s="48"/>
      <c r="D7" s="48"/>
      <c r="E7" s="48"/>
      <c r="F7" s="48"/>
      <c r="G7" s="48"/>
      <c r="H7" s="48"/>
      <c r="I7" s="48"/>
    </row>
    <row r="8" ht="13.5" customHeight="1">
      <c r="A8" s="48"/>
      <c r="B8" s="48"/>
      <c r="C8" s="48"/>
      <c r="D8" s="48"/>
      <c r="E8" s="48"/>
      <c r="F8" s="48"/>
      <c r="G8" s="48"/>
      <c r="H8" s="48"/>
      <c r="I8" s="48"/>
    </row>
    <row r="9" ht="13.5" customHeight="1">
      <c r="A9" s="48"/>
      <c r="B9" s="48"/>
      <c r="C9" s="48"/>
      <c r="D9" s="48"/>
      <c r="E9" s="48"/>
      <c r="F9" s="48"/>
      <c r="G9" s="48"/>
      <c r="H9" s="48"/>
      <c r="I9" s="48"/>
    </row>
    <row r="10" ht="13.5" customHeight="1">
      <c r="A10" s="48"/>
      <c r="B10" s="48"/>
      <c r="C10" s="48"/>
      <c r="D10" s="48"/>
      <c r="E10" s="48"/>
      <c r="F10" s="48"/>
      <c r="G10" s="48"/>
      <c r="H10" s="48"/>
      <c r="I10" s="48"/>
    </row>
    <row r="11" ht="13.5" customHeight="1">
      <c r="A11" s="48"/>
      <c r="B11" s="48"/>
      <c r="C11" s="48"/>
      <c r="D11" s="48"/>
      <c r="E11" s="48"/>
      <c r="F11" s="48"/>
      <c r="G11" s="48"/>
      <c r="H11" s="48"/>
      <c r="I11" s="48"/>
    </row>
    <row r="12" ht="13.5" customHeight="1">
      <c r="A12" s="48"/>
      <c r="B12" s="48"/>
      <c r="C12" s="48"/>
      <c r="D12" s="48"/>
      <c r="E12" s="48"/>
      <c r="F12" s="48"/>
      <c r="G12" s="48"/>
      <c r="H12" s="48"/>
      <c r="I12" s="48"/>
    </row>
    <row r="13" ht="13.5" customHeight="1">
      <c r="A13" s="48"/>
      <c r="B13" s="48"/>
      <c r="C13" s="48"/>
      <c r="D13" s="48"/>
      <c r="E13" s="48"/>
      <c r="F13" s="48"/>
      <c r="G13" s="48"/>
      <c r="H13" s="48"/>
      <c r="I13" s="48"/>
    </row>
    <row r="14" ht="13.5" customHeight="1">
      <c r="A14" s="48"/>
      <c r="B14" s="48"/>
      <c r="C14" s="48"/>
      <c r="D14" s="48"/>
      <c r="E14" s="48"/>
      <c r="F14" s="48"/>
      <c r="G14" s="48"/>
      <c r="H14" s="48"/>
      <c r="I14" s="48"/>
    </row>
    <row r="15" ht="13.5" customHeight="1">
      <c r="A15" s="48"/>
      <c r="B15" s="48"/>
      <c r="C15" s="48"/>
      <c r="D15" s="48"/>
      <c r="E15" s="48"/>
      <c r="F15" s="48"/>
      <c r="G15" s="48"/>
      <c r="H15" s="48"/>
      <c r="I15" s="48"/>
    </row>
    <row r="16" ht="13.5" customHeight="1">
      <c r="A16" s="48"/>
      <c r="B16" s="48"/>
      <c r="C16" s="48"/>
      <c r="D16" s="48"/>
      <c r="E16" s="48"/>
      <c r="F16" s="48"/>
      <c r="G16" s="48"/>
      <c r="H16" s="48"/>
      <c r="I16" s="48"/>
    </row>
    <row r="17" ht="13.5" customHeight="1">
      <c r="A17" s="48"/>
      <c r="B17" s="48"/>
      <c r="C17" s="48"/>
      <c r="D17" s="48"/>
      <c r="E17" s="48"/>
      <c r="F17" s="48"/>
      <c r="G17" s="48"/>
      <c r="H17" s="48"/>
      <c r="I17" s="48"/>
    </row>
    <row r="18" ht="13.5" customHeight="1">
      <c r="A18" s="48"/>
      <c r="B18" s="48"/>
      <c r="C18" s="48"/>
      <c r="D18" s="48"/>
      <c r="E18" s="48"/>
      <c r="F18" s="48"/>
      <c r="G18" s="48"/>
      <c r="H18" s="48"/>
      <c r="I18" s="48"/>
    </row>
    <row r="19" ht="13.5" customHeight="1">
      <c r="A19" s="48"/>
      <c r="B19" s="48"/>
      <c r="C19" s="48"/>
      <c r="D19" s="48"/>
      <c r="E19" s="48"/>
      <c r="F19" s="48"/>
      <c r="G19" s="48"/>
      <c r="H19" s="48"/>
      <c r="I19" s="48"/>
    </row>
    <row r="20" ht="13.5" customHeight="1">
      <c r="A20" s="48"/>
      <c r="B20" s="48"/>
      <c r="C20" s="48"/>
      <c r="D20" s="48"/>
      <c r="E20" s="48"/>
      <c r="F20" s="48"/>
      <c r="G20" s="48"/>
      <c r="H20" s="48"/>
      <c r="I20" s="48"/>
    </row>
    <row r="21" ht="13.5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ht="13.5" customHeight="1">
      <c r="A22" s="48"/>
      <c r="B22" s="48"/>
      <c r="C22" s="48"/>
      <c r="D22" s="48"/>
      <c r="E22" s="48"/>
      <c r="F22" s="48"/>
      <c r="G22" s="48"/>
      <c r="H22" s="48"/>
      <c r="I22" s="48"/>
    </row>
    <row r="23" ht="13.5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ht="13.5" customHeight="1">
      <c r="A24" s="48"/>
      <c r="B24" s="48"/>
      <c r="C24" s="48"/>
      <c r="D24" s="48"/>
      <c r="E24" s="48"/>
      <c r="F24" s="48"/>
      <c r="G24" s="48"/>
      <c r="H24" s="48"/>
      <c r="I24" s="48"/>
    </row>
    <row r="25" ht="13.5" customHeight="1">
      <c r="A25" s="48"/>
      <c r="B25" s="48"/>
      <c r="C25" s="48"/>
      <c r="D25" s="48"/>
      <c r="E25" s="48"/>
      <c r="F25" s="48"/>
      <c r="G25" s="48"/>
      <c r="H25" s="48"/>
      <c r="I25" s="48"/>
    </row>
    <row r="26" ht="13.5" customHeight="1">
      <c r="A26" s="48"/>
      <c r="B26" s="48"/>
      <c r="C26" s="48"/>
      <c r="D26" s="48"/>
      <c r="E26" s="48"/>
      <c r="F26" s="48"/>
      <c r="G26" s="48"/>
      <c r="H26" s="48"/>
      <c r="I26" s="48"/>
    </row>
    <row r="27" ht="13.5" customHeight="1">
      <c r="A27" s="48"/>
      <c r="B27" s="48"/>
      <c r="C27" s="48"/>
      <c r="D27" s="48"/>
      <c r="E27" s="48"/>
      <c r="F27" s="48"/>
      <c r="G27" s="48"/>
      <c r="H27" s="48"/>
      <c r="I27" s="48"/>
    </row>
    <row r="28" ht="13.5" customHeight="1">
      <c r="A28" s="48"/>
      <c r="B28" s="48"/>
      <c r="C28" s="48"/>
      <c r="D28" s="48"/>
      <c r="E28" s="48"/>
      <c r="F28" s="48"/>
      <c r="G28" s="48"/>
      <c r="H28" s="48"/>
      <c r="I28" s="48"/>
    </row>
    <row r="29" ht="13.5" customHeight="1">
      <c r="A29" s="48"/>
      <c r="B29" s="48"/>
      <c r="C29" s="48"/>
      <c r="D29" s="48"/>
      <c r="E29" s="48"/>
      <c r="F29" s="48"/>
      <c r="G29" s="48"/>
      <c r="H29" s="48"/>
      <c r="I29" s="48"/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conditionalFormatting sqref="G3:G5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00.13"/>
    <col customWidth="1" min="3" max="22" width="8.88"/>
  </cols>
  <sheetData>
    <row r="1" ht="33.75" customHeight="1">
      <c r="A1" s="52" t="s">
        <v>80</v>
      </c>
      <c r="B1" s="3"/>
      <c r="C1" s="53"/>
      <c r="D1" s="53"/>
      <c r="E1" s="53"/>
      <c r="F1" s="53"/>
      <c r="G1" s="53"/>
      <c r="H1" s="53"/>
      <c r="I1" s="53"/>
      <c r="J1" s="54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ht="33.75" customHeight="1">
      <c r="A2" s="5" t="s">
        <v>81</v>
      </c>
      <c r="B2" s="5" t="s">
        <v>82</v>
      </c>
      <c r="C2" s="48"/>
      <c r="D2" s="48"/>
      <c r="E2" s="48"/>
      <c r="F2" s="48"/>
      <c r="G2" s="48"/>
      <c r="H2" s="48"/>
      <c r="I2" s="48"/>
    </row>
    <row r="3" ht="33.75" customHeight="1">
      <c r="A3" s="55" t="s">
        <v>83</v>
      </c>
      <c r="B3" s="55" t="s">
        <v>84</v>
      </c>
      <c r="C3" s="48"/>
      <c r="D3" s="48"/>
      <c r="E3" s="48"/>
      <c r="F3" s="48"/>
      <c r="G3" s="48"/>
      <c r="H3" s="48"/>
      <c r="I3" s="48"/>
    </row>
    <row r="4" ht="33.75" customHeight="1">
      <c r="A4" s="5" t="s">
        <v>85</v>
      </c>
      <c r="B4" s="5" t="s">
        <v>86</v>
      </c>
      <c r="C4" s="48"/>
      <c r="D4" s="48"/>
      <c r="E4" s="48"/>
      <c r="F4" s="48"/>
      <c r="G4" s="48"/>
      <c r="H4" s="48"/>
      <c r="I4" s="48"/>
    </row>
    <row r="5" ht="33.75" customHeight="1">
      <c r="A5" s="5" t="s">
        <v>87</v>
      </c>
      <c r="B5" s="5" t="s">
        <v>88</v>
      </c>
      <c r="C5" s="48"/>
      <c r="D5" s="48"/>
      <c r="E5" s="48"/>
      <c r="F5" s="48"/>
      <c r="G5" s="48"/>
      <c r="H5" s="48"/>
      <c r="I5" s="48"/>
    </row>
    <row r="6" ht="33.75" customHeight="1">
      <c r="A6" s="5" t="s">
        <v>89</v>
      </c>
      <c r="B6" s="5" t="s">
        <v>90</v>
      </c>
      <c r="C6" s="48"/>
      <c r="D6" s="48"/>
      <c r="E6" s="48"/>
      <c r="F6" s="48"/>
      <c r="G6" s="48"/>
      <c r="H6" s="48"/>
      <c r="I6" s="48"/>
    </row>
    <row r="7" ht="33.75" customHeight="1">
      <c r="A7" s="5" t="s">
        <v>91</v>
      </c>
      <c r="B7" s="5" t="s">
        <v>92</v>
      </c>
      <c r="C7" s="48"/>
      <c r="D7" s="48"/>
      <c r="E7" s="48"/>
      <c r="F7" s="48"/>
      <c r="G7" s="48"/>
      <c r="H7" s="48"/>
      <c r="I7" s="48"/>
    </row>
    <row r="8" ht="33.75" customHeight="1">
      <c r="A8" s="5" t="s">
        <v>93</v>
      </c>
      <c r="B8" s="5" t="s">
        <v>94</v>
      </c>
      <c r="C8" s="48"/>
      <c r="D8" s="48"/>
      <c r="E8" s="48"/>
      <c r="F8" s="48"/>
      <c r="G8" s="48"/>
      <c r="H8" s="48"/>
      <c r="I8" s="48"/>
    </row>
    <row r="9" ht="33.75" customHeight="1">
      <c r="A9" s="5" t="s">
        <v>95</v>
      </c>
      <c r="B9" s="5" t="s">
        <v>96</v>
      </c>
      <c r="C9" s="48"/>
      <c r="D9" s="48"/>
      <c r="E9" s="48"/>
      <c r="F9" s="48"/>
      <c r="G9" s="48"/>
      <c r="H9" s="48"/>
      <c r="I9" s="48"/>
    </row>
    <row r="10" ht="33.75" customHeight="1">
      <c r="A10" s="5" t="s">
        <v>97</v>
      </c>
      <c r="B10" s="5" t="s">
        <v>98</v>
      </c>
      <c r="C10" s="48"/>
      <c r="D10" s="48"/>
      <c r="E10" s="48"/>
      <c r="F10" s="48"/>
      <c r="G10" s="48"/>
      <c r="H10" s="48"/>
      <c r="I10" s="48"/>
    </row>
    <row r="11" ht="31.5" customHeight="1">
      <c r="A11" s="56"/>
      <c r="B11" s="56"/>
      <c r="C11" s="56"/>
      <c r="D11" s="56"/>
      <c r="E11" s="56"/>
      <c r="F11" s="56"/>
      <c r="G11" s="56"/>
      <c r="H11" s="56"/>
      <c r="I11" s="56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31.5" customHeight="1">
      <c r="A12" s="58" t="s">
        <v>99</v>
      </c>
      <c r="B12" s="59" t="s">
        <v>100</v>
      </c>
      <c r="C12" s="56"/>
      <c r="D12" s="56"/>
      <c r="E12" s="56"/>
      <c r="F12" s="56"/>
      <c r="G12" s="56"/>
      <c r="H12" s="56"/>
      <c r="I12" s="5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31.5" customHeight="1">
      <c r="A13" s="58" t="s">
        <v>101</v>
      </c>
      <c r="B13" s="59" t="s">
        <v>102</v>
      </c>
      <c r="C13" s="56"/>
      <c r="D13" s="56"/>
      <c r="E13" s="56"/>
      <c r="F13" s="56"/>
      <c r="G13" s="56"/>
      <c r="H13" s="56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31.5" customHeight="1">
      <c r="A14" s="58" t="s">
        <v>103</v>
      </c>
      <c r="B14" s="59" t="s">
        <v>104</v>
      </c>
      <c r="C14" s="56"/>
      <c r="D14" s="56"/>
      <c r="E14" s="56"/>
      <c r="F14" s="56"/>
      <c r="G14" s="56"/>
      <c r="H14" s="56"/>
      <c r="I14" s="5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31.5" customHeight="1">
      <c r="A15" s="58" t="s">
        <v>105</v>
      </c>
      <c r="B15" s="59" t="s">
        <v>106</v>
      </c>
      <c r="C15" s="56"/>
      <c r="D15" s="56"/>
      <c r="E15" s="56"/>
      <c r="F15" s="56"/>
      <c r="G15" s="56"/>
      <c r="H15" s="56"/>
      <c r="I15" s="56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31.5" customHeight="1">
      <c r="A16" s="58" t="s">
        <v>107</v>
      </c>
      <c r="B16" s="59" t="s">
        <v>108</v>
      </c>
      <c r="C16" s="56"/>
      <c r="D16" s="56"/>
      <c r="E16" s="56"/>
      <c r="F16" s="56"/>
      <c r="G16" s="56"/>
      <c r="H16" s="56"/>
      <c r="I16" s="56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31.5" customHeight="1">
      <c r="A17" s="48" t="s">
        <v>109</v>
      </c>
      <c r="B17" s="48" t="s">
        <v>110</v>
      </c>
      <c r="C17" s="48"/>
      <c r="D17" s="48"/>
      <c r="E17" s="48"/>
      <c r="F17" s="48"/>
      <c r="G17" s="48"/>
      <c r="H17" s="48"/>
      <c r="I17" s="48"/>
    </row>
    <row r="18" ht="31.5" customHeight="1">
      <c r="A18" s="48"/>
      <c r="B18" s="48"/>
      <c r="C18" s="48"/>
      <c r="D18" s="48"/>
      <c r="E18" s="48"/>
      <c r="F18" s="48"/>
      <c r="G18" s="48"/>
      <c r="H18" s="48"/>
      <c r="I18" s="48"/>
    </row>
    <row r="19" ht="31.5" customHeight="1">
      <c r="A19" s="48"/>
      <c r="B19" s="48"/>
      <c r="C19" s="48"/>
      <c r="D19" s="48"/>
      <c r="E19" s="48"/>
      <c r="F19" s="48"/>
      <c r="G19" s="48"/>
      <c r="H19" s="48"/>
      <c r="I19" s="48"/>
    </row>
    <row r="20" ht="31.5" customHeight="1">
      <c r="A20" s="48"/>
      <c r="B20" s="48"/>
      <c r="C20" s="48"/>
      <c r="D20" s="48"/>
      <c r="E20" s="48"/>
      <c r="F20" s="48"/>
      <c r="G20" s="48"/>
      <c r="H20" s="48"/>
      <c r="I20" s="48"/>
    </row>
    <row r="21" ht="31.5" customHeight="1">
      <c r="A21" s="48"/>
      <c r="B21" s="48"/>
      <c r="C21" s="48"/>
      <c r="D21" s="48"/>
      <c r="E21" s="48"/>
      <c r="F21" s="48"/>
      <c r="G21" s="48"/>
      <c r="H21" s="48"/>
      <c r="I21" s="48"/>
    </row>
    <row r="22" ht="31.5" customHeight="1">
      <c r="A22" s="48"/>
      <c r="B22" s="48"/>
      <c r="C22" s="48"/>
      <c r="D22" s="48"/>
      <c r="E22" s="48"/>
      <c r="F22" s="48"/>
      <c r="G22" s="48"/>
      <c r="H22" s="48"/>
      <c r="I22" s="48"/>
    </row>
    <row r="23" ht="31.5" customHeight="1">
      <c r="A23" s="48"/>
      <c r="B23" s="48"/>
      <c r="C23" s="48"/>
      <c r="D23" s="48"/>
      <c r="E23" s="48"/>
      <c r="F23" s="48"/>
      <c r="G23" s="48"/>
      <c r="H23" s="48"/>
      <c r="I23" s="48"/>
    </row>
    <row r="24" ht="13.5" customHeight="1">
      <c r="A24" s="48"/>
      <c r="B24" s="48"/>
      <c r="C24" s="48"/>
      <c r="D24" s="48"/>
      <c r="E24" s="48"/>
      <c r="F24" s="48"/>
      <c r="G24" s="48"/>
      <c r="H24" s="48"/>
      <c r="I24" s="48"/>
    </row>
    <row r="25" ht="13.5" customHeight="1">
      <c r="A25" s="48"/>
      <c r="B25" s="48"/>
      <c r="C25" s="48"/>
      <c r="D25" s="48"/>
      <c r="E25" s="48"/>
      <c r="F25" s="48"/>
      <c r="G25" s="48"/>
      <c r="H25" s="48"/>
      <c r="I25" s="48"/>
    </row>
    <row r="26" ht="13.5" customHeight="1">
      <c r="A26" s="48"/>
      <c r="B26" s="48"/>
      <c r="C26" s="48"/>
      <c r="D26" s="48"/>
      <c r="E26" s="48"/>
      <c r="F26" s="48"/>
      <c r="G26" s="48"/>
      <c r="H26" s="48"/>
      <c r="I26" s="48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75"/>
    <col customWidth="1" min="2" max="3" width="18.0"/>
    <col customWidth="1" min="4" max="4" width="28.0"/>
    <col customWidth="1" min="5" max="6" width="14.0"/>
    <col customWidth="1" min="7" max="7" width="16.38"/>
    <col customWidth="1" min="8" max="8" width="40.13"/>
    <col customWidth="1" min="9" max="11" width="14.0"/>
    <col customWidth="1" min="12" max="14" width="13.0"/>
    <col customWidth="1" min="15" max="15" width="68.63"/>
    <col customWidth="1" min="16" max="16" width="19.13"/>
    <col customWidth="1" min="17" max="17" width="29.63"/>
    <col customWidth="1" min="18" max="24" width="13.0"/>
    <col customWidth="1" min="25" max="25" width="60.0"/>
  </cols>
  <sheetData>
    <row r="1" ht="48.0" customHeight="1">
      <c r="A1" s="60" t="s">
        <v>111</v>
      </c>
      <c r="R1" s="61"/>
      <c r="S1" s="61"/>
      <c r="T1" s="61"/>
      <c r="U1" s="61"/>
      <c r="V1" s="61"/>
      <c r="W1" s="61"/>
      <c r="X1" s="61"/>
      <c r="Y1" s="61"/>
      <c r="Z1" s="61"/>
    </row>
    <row r="2" ht="28.5" customHeight="1">
      <c r="A2" s="62" t="s">
        <v>112</v>
      </c>
      <c r="B2" s="63">
        <f>Daily_Rate_Input!$A$3</f>
        <v>-180686</v>
      </c>
      <c r="C2" s="64"/>
      <c r="D2" s="65" t="s">
        <v>113</v>
      </c>
      <c r="E2" s="66">
        <f>Fees_Settings!$E$3</f>
        <v>0.007</v>
      </c>
      <c r="F2" s="66"/>
      <c r="G2" s="65" t="s">
        <v>114</v>
      </c>
      <c r="H2" s="66">
        <f>Fees_Settings!$E$5</f>
        <v>0.015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28.5" customHeight="1">
      <c r="A3" s="62" t="s">
        <v>115</v>
      </c>
      <c r="B3" s="67">
        <f>Dashboard!$B$5</f>
        <v>1000000</v>
      </c>
      <c r="C3" s="64"/>
      <c r="D3" s="65" t="s">
        <v>116</v>
      </c>
      <c r="E3" s="66">
        <f>Fees_Settings!$E$4</f>
        <v>0.005</v>
      </c>
      <c r="F3" s="66"/>
      <c r="G3" s="65" t="s">
        <v>97</v>
      </c>
      <c r="H3" s="66" t="s">
        <v>117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52.5" customHeight="1">
      <c r="A5" s="68" t="s">
        <v>22</v>
      </c>
      <c r="B5" s="68" t="s">
        <v>23</v>
      </c>
      <c r="C5" s="68" t="s">
        <v>118</v>
      </c>
      <c r="D5" s="68" t="s">
        <v>11</v>
      </c>
      <c r="E5" s="68" t="s">
        <v>119</v>
      </c>
      <c r="F5" s="68" t="s">
        <v>120</v>
      </c>
      <c r="G5" s="68" t="s">
        <v>121</v>
      </c>
      <c r="H5" s="68" t="s">
        <v>122</v>
      </c>
      <c r="I5" s="68" t="s">
        <v>123</v>
      </c>
      <c r="J5" s="68" t="s">
        <v>4</v>
      </c>
      <c r="K5" s="68" t="s">
        <v>7</v>
      </c>
      <c r="L5" s="68" t="s">
        <v>124</v>
      </c>
      <c r="M5" s="68" t="s">
        <v>125</v>
      </c>
      <c r="N5" s="68" t="s">
        <v>10</v>
      </c>
      <c r="O5" s="68" t="s">
        <v>126</v>
      </c>
      <c r="P5" s="68" t="s">
        <v>127</v>
      </c>
      <c r="Q5" s="68" t="s">
        <v>128</v>
      </c>
      <c r="R5" s="61"/>
      <c r="S5" s="61"/>
      <c r="T5" s="61"/>
      <c r="U5" s="61"/>
      <c r="V5" s="61"/>
      <c r="W5" s="61"/>
      <c r="X5" s="61"/>
      <c r="Y5" s="61"/>
      <c r="Z5" s="61"/>
    </row>
    <row r="6" ht="52.5" customHeight="1">
      <c r="A6" s="69" t="s">
        <v>44</v>
      </c>
      <c r="B6" s="70" t="s">
        <v>45</v>
      </c>
      <c r="C6" s="71">
        <f t="array" ref="C6">INDEX(Conversion_Matrix!$B$3:$F$7,MATCH($A6,Conversion_Matrix!$A$3:$A$7,0),MATCH("USD_Tehran",Conversion_Matrix!$B$2:$F$2,0))</f>
        <v>0</v>
      </c>
      <c r="D6" s="71">
        <f>Fees_Settings!$E$3</f>
        <v>0.007</v>
      </c>
      <c r="E6" s="71">
        <f t="shared" ref="E6:E10" si="1">C6+D6</f>
        <v>0.007</v>
      </c>
      <c r="F6" s="71" t="str">
        <f t="array" ref="F6">INDEX(Conversion_Matrix!$B$3:$F$7,MATCH($A6,Conversion_Matrix!$A$3:$A$7,0),MATCH("USD_Dubai",Conversion_Matrix!$B$2:$F$2,0))</f>
        <v/>
      </c>
      <c r="G6" s="71">
        <f>Fees_Settings!$E$4</f>
        <v>0.005</v>
      </c>
      <c r="H6" s="71">
        <f t="shared" ref="H6:H10" si="2">F6+G6</f>
        <v>0.005</v>
      </c>
      <c r="I6" s="71" t="str">
        <f>IF($A6="USD_Istanbul",Fees_Settings!$E$5,"")</f>
        <v/>
      </c>
      <c r="J6" s="69" t="str">
        <f t="shared" ref="J6:J10" si="3">IF(MIN($E6,$H6,IF($I6="",9^9,$I6))=$E6,"اظهارنامه بدون ارز",IF(MIN($E6,$H6,IF($I6="",9^9,$I6))=$H6,"اظهارنامه با ارز از مسیر دوبی","اظهارنامه با ارز مستقیم استانبول"))</f>
        <v>اظهارنامه با ارز از مسیر دوبی</v>
      </c>
      <c r="K6" s="71">
        <f t="shared" ref="K6:K10" si="4">MIN($E6,$H6,IF($I6="",9^9,$I6))</f>
        <v>0.005</v>
      </c>
      <c r="L6" s="71">
        <f t="shared" ref="L6:L10" si="5">IF($I6="",MAX($E6,$H6),MIN(MAX($E6,$H6),MAX($E6,$I6),MAX($H6,$I6)))</f>
        <v>0.007</v>
      </c>
      <c r="M6" s="71">
        <f t="shared" ref="M6:M10" si="6">L6-K6</f>
        <v>0.002</v>
      </c>
      <c r="N6" s="72">
        <f t="shared" ref="N6:N10" si="7">$B$3*K6</f>
        <v>5000</v>
      </c>
      <c r="O6" s="69" t="str">
        <f>IFERROR(__xludf.DUMMYFUNCTION("LET(
routes,{""اظهارنامه بدون ارز"",E6;""اظهارنامه با ارز از مسیر دوبی"",H6;""اظهارنامه با ارز مستقیم استانبول"",I6},
nextRoutes,SORT(FILTER(routes,INDEX(routes,,1)&lt;&gt;J6,INDEX(routes,,2)&gt;0),2,TRUE),
""بهترین مسیر امروز برای رفع تعهد با منشأ ارز ""&amp;B6&amp;""، «"&amp;"""&amp;J6&amp;""» است.""&amp;CHAR(10)&amp;
""هزینه تمام‌شده این مسیر ""&amp;TEXT(K6,""0.00%"")&amp;"" معادل حدود ""&amp;TEXT(N6,""#,##0"")&amp;"" دلار است.""&amp;CHAR(10)&amp;CHAR(10)&amp;
IF(J6=""اظهارنامه بدون ارز"",
""مشتری ""&amp;TEXT(D6,""0.00%"")&amp;"" هزینه کارمزد اظهارنامه بدون ارز پرداخت می‌کند و"&amp;" ""&amp;IF(C6&lt;0,TEXT(ABS(C6),""0.00%"")&amp;"" بابت تبدیل ""&amp;B6&amp;"" به دلار تهران سر می‌گیرد"",TEXT(C6,""0.00%"")&amp;"" بابت تبدیل ""&amp;B6&amp;"" به دلار تهران هزینه می‌دهد"")&amp;""؛ بنابراین هزینه نهایی ""&amp;TEXT(E6,""0.00%"")&amp;"" می‌شود."",
IF(J6=""اظهارنامه با ارز از مسیر دوب"&amp;"ی"",
""مشتری ""&amp;IF(F6&lt;0,TEXT(ABS(F6),""0.00%"")&amp;"" بابت تبدیل ""&amp;B6&amp;"" به دلار دوبی سر می‌گیرد"",TEXT(F6,""0.00%"")&amp;"" بابت تبدیل ""&amp;B6&amp;"" به دلار دوبی هزینه می‌دهد"")&amp;"" و ""&amp;TEXT(G6,""0.00%"")&amp;"" هزینه انتقال / ورود ارز از مسیر دوبی پرداخت می‌کند؛ بنابر"&amp;"این هزینه نهایی ""&amp;TEXT(H6,""0.00%"")&amp;"" می‌شود."",
""مشتری از مسیر مستقیم استانبول استفاده می‌کند. این مسیر شامل تبدیل ارز و هزینه انتقال است و کارمزد ثابت آن ""&amp;TEXT(I6,""0.00%"")&amp;"" است.""
))&amp;CHAR(10)&amp;CHAR(10)&amp;
""گزینه‌های بعدی به ترتیب هزینه:""&amp;CHAR(1"&amp;"0)&amp;
TEXTJOIN(CHAR(10),TRUE,ARRAYFORMULA(""- ""&amp;INDEX(nextRoutes,,1)&amp;"": هزینه تمام‌شده ""&amp;TEXT(INDEX(nextRoutes,,2),""0.00%"")&amp;"" معادل حدود ""&amp;TEXT($B$3*INDEX(nextRoutes,,2),""#,##0"")&amp;"" دلار.""))&amp;CHAR(10)&amp;CHAR(10)&amp;
""اختلاف بهترین مسیر با نزدیک‌ترین گز"&amp;"ینه بعدی ""&amp;TEXT(M6,""0.00%"")&amp;"" معادل حدود ""&amp;TEXT($B$3*M6,""#,##0"")&amp;"" دلار است.""
)"),"بهترین مسیر امروز برای رفع تعهد با منشأ ارز دلار تهران، «اظهارنامه با ارز از مسیر دوبی» است.
هزینه تمام‌شده این مسیر 0.50% معادل حدود 5,000 دلار است.
مشتری  بابت تبدیل دلار تهران به دلار دوبی هزینه می‌دهد و 0.50% هزینه انتقال / ورود ارز از مسیر دوبی پردا"&amp;"خت می‌کند؛ بنابراین هزینه نهایی 0.50% می‌شود.
گزینه‌های بعدی به ترتیب هزینه:
- اظهارنامه بدون ارز: هزینه تمام‌شده 0.70% معادل حدود 7,000 دلار.
- اظهارنامه با ارز مستقیم استانبول: هزینه تمام‌شده  معادل حدود 0 دلار.
اختلاف بهترین مسیر با نزدیک‌ترین گزینه "&amp;"بعدی 0.20% معادل حدود 2,000 دلار است.")</f>
        <v>بهترین مسیر امروز برای رفع تعهد با منشأ ارز دلار تهران، «اظهارنامه با ارز از مسیر دوبی» است.
هزینه تمام‌شده این مسیر 0.50% معادل حدود 5,000 دلار است.
مشتری  بابت تبدیل دلار تهران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0.70% معادل حدود 7,000 دلار.
- اظهارنامه با ارز مستقیم استانبول: هزینه تمام‌شده  معادل حدود 0 دلار.
اختلاف بهترین مسیر با نزدیک‌ترین گزینه بعدی 0.20% معادل حدود 2,000 دلار است.</v>
      </c>
      <c r="P6" s="69" t="str">
        <f t="shared" ref="P6:P10" si="8">IF(J6="اظهارنامه بدون ارز","اقدام: خرید/تأمین اظهارنامه بدون ارز و تبدیل منشأ به دلار تهران.",IF(J6="اظهارنامه با ارز از مسیر دوبی","اقدام: تبدیل منشأ به دلار دوبی، ثبت اردر اظهارنامه با ارز از مسیر دوبی و هماهنگی ورود ارز.","اقدام: هماهنگی با تأمین‌کننده مستقیم استانبول و دریافت تأیید کارمزد ثابت."))</f>
        <v>اقدام: تبدیل منشأ به دلار دوبی، ثبت اردر اظهارنامه با ارز از مسیر دوبی و هماهنگی ورود ارز.</v>
      </c>
      <c r="Q6" s="69" t="str">
        <f t="shared" ref="Q6:Q10" si="9">"- "&amp;B6&amp;": "&amp;J6&amp;" | هزینه "&amp;TEXT(K6,"0.00%")&amp;" | صرفه نسبت به گزینه بعدی "&amp;TEXT(M6,"0.00%")</f>
        <v>- دلار تهران: اظهارنامه با ارز از مسیر دوبی | هزینه 0.50% | صرفه نسبت به گزینه بعدی 0.20%</v>
      </c>
      <c r="R6" s="61"/>
      <c r="S6" s="61"/>
      <c r="T6" s="61"/>
      <c r="U6" s="61"/>
      <c r="V6" s="61"/>
      <c r="W6" s="61"/>
      <c r="X6" s="61"/>
      <c r="Y6" s="61"/>
      <c r="Z6" s="61"/>
    </row>
    <row r="7" ht="52.5" customHeight="1">
      <c r="A7" s="69" t="s">
        <v>9</v>
      </c>
      <c r="B7" s="70" t="s">
        <v>47</v>
      </c>
      <c r="C7" s="71">
        <f t="array" ref="C7">INDEX(Conversion_Matrix!$B$3:$F$7,MATCH($A7,Conversion_Matrix!$A$3:$A$7,0),MATCH("USD_Tehran",Conversion_Matrix!$B$2:$F$2,0))</f>
        <v>-0.001087251971</v>
      </c>
      <c r="D7" s="71">
        <f>Fees_Settings!$E$3</f>
        <v>0.007</v>
      </c>
      <c r="E7" s="71">
        <f t="shared" si="1"/>
        <v>0.005912748029</v>
      </c>
      <c r="F7" s="71" t="str">
        <f t="array" ref="F7">INDEX(Conversion_Matrix!$B$3:$F$7,MATCH($A7,Conversion_Matrix!$A$3:$A$7,0),MATCH("USD_Dubai",Conversion_Matrix!$B$2:$F$2,0))</f>
        <v/>
      </c>
      <c r="G7" s="71">
        <f>Fees_Settings!$E$4</f>
        <v>0.005</v>
      </c>
      <c r="H7" s="71">
        <f t="shared" si="2"/>
        <v>0.005</v>
      </c>
      <c r="I7" s="71">
        <f>IF($A7="USD_Istanbul",Fees_Settings!$E$5,"")</f>
        <v>0.015</v>
      </c>
      <c r="J7" s="69" t="str">
        <f t="shared" si="3"/>
        <v>اظهارنامه با ارز از مسیر دوبی</v>
      </c>
      <c r="K7" s="71">
        <f t="shared" si="4"/>
        <v>0.005</v>
      </c>
      <c r="L7" s="71">
        <f t="shared" si="5"/>
        <v>0.005912748029</v>
      </c>
      <c r="M7" s="71">
        <f t="shared" si="6"/>
        <v>0.0009127480294</v>
      </c>
      <c r="N7" s="72">
        <f t="shared" si="7"/>
        <v>5000</v>
      </c>
      <c r="O7" s="69" t="str">
        <f>IFERROR(__xludf.DUMMYFUNCTION("LET(
routes,{""اظهارنامه بدون ارز"",E7;""اظهارنامه با ارز از مسیر دوبی"",H7;""اظهارنامه با ارز مستقیم استانبول"",I7},
nextRoutes,SORT(FILTER(routes,INDEX(routes,,1)&lt;&gt;J7,INDEX(routes,,2)&gt;0),2,TRUE),
""بهترین مسیر امروز برای رفع تعهد با منشأ ارز ""&amp;B7&amp;""، «"&amp;"""&amp;J7&amp;""» است.""&amp;CHAR(10)&amp;
""هزینه تمام‌شده این مسیر ""&amp;TEXT(K7,""0.00%"")&amp;"" معادل حدود ""&amp;TEXT(N7,""#,##0"")&amp;"" دلار است.""&amp;CHAR(10)&amp;CHAR(10)&amp;
IF(J7=""اظهارنامه بدون ارز"",
""مشتری ""&amp;TEXT(D7,""0.00%"")&amp;"" هزینه کارمزد اظهارنامه بدون ارز پرداخت می‌کند و"&amp;" ""&amp;IF(C7&lt;0,TEXT(ABS(C7),""0.00%"")&amp;"" بابت تبدیل ""&amp;B7&amp;"" به دلار تهران سر می‌گیرد"",TEXT(C7,""0.00%"")&amp;"" بابت تبدیل ""&amp;B7&amp;"" به دلار تهران هزینه می‌دهد"")&amp;""؛ بنابراین هزینه نهایی ""&amp;TEXT(E7,""0.00%"")&amp;"" می‌شود."",
IF(J7=""اظهارنامه با ارز از مسیر دوب"&amp;"ی"",
""مشتری ""&amp;IF(F7&lt;0,TEXT(ABS(F7),""0.00%"")&amp;"" بابت تبدیل ""&amp;B7&amp;"" به دلار دوبی سر می‌گیرد"",TEXT(F7,""0.00%"")&amp;"" بابت تبدیل ""&amp;B7&amp;"" به دلار دوبی هزینه می‌دهد"")&amp;"" و ""&amp;TEXT(G7,""0.00%"")&amp;"" هزینه انتقال / ورود ارز از مسیر دوبی پرداخت می‌کند؛ بنابر"&amp;"این هزینه نهایی ""&amp;TEXT(H7,""0.00%"")&amp;"" می‌شود."",
""مشتری از مسیر مستقیم استانبول استفاده می‌کند. این مسیر شامل تبدیل ارز و هزینه انتقال است و کارمزد ثابت آن ""&amp;TEXT(I7,""0.00%"")&amp;"" است.""
))&amp;CHAR(10)&amp;CHAR(10)&amp;
""گزینه‌های بعدی به ترتیب هزینه:""&amp;CHAR(1"&amp;"0)&amp;
TEXTJOIN(CHAR(10),TRUE,ARRAYFORMULA(""- ""&amp;INDEX(nextRoutes,,1)&amp;"": هزینه تمام‌شده ""&amp;TEXT(INDEX(nextRoutes,,2),""0.00%"")&amp;"" معادل حدود ""&amp;TEXT($B$3*INDEX(nextRoutes,,2),""#,##0"")&amp;"" دلار.""))&amp;CHAR(10)&amp;CHAR(10)&amp;
""اختلاف بهترین مسیر با نزدیک‌ترین گز"&amp;"ینه بعدی ""&amp;TEXT(M7,""0.00%"")&amp;"" معادل حدود ""&amp;TEXT($B$3*M7,""#,##0"")&amp;"" دلار است.""
)"),"بهترین مسیر امروز برای رفع تعهد با منشأ ارز دلار استانبول، «اظهارنامه با ارز از مسیر دوبی» است.
هزینه تمام‌شده این مسیر 0.50% معادل حدود 5,000 دلار است.
مشتری  بابت تبدیل دلار استانبول به دلار دوبی هزینه می‌دهد و 0.50% هزینه انتقال / ورود ارز از مسیر دوب"&amp;"ی پرداخت می‌کند؛ بنابراین هزینه نهایی 0.50% می‌شود.
گزینه‌های بعدی به ترتیب هزینه:
- اظهارنامه بدون ارز: هزینه تمام‌شده 0.59% معادل حدود 5,913 دلار.
- اظهارنامه با ارز مستقیم استانبول: هزینه تمام‌شده 1.50% معادل حدود 15,000 دلار.
اختلاف بهترین مسیر با ن"&amp;"زدیک‌ترین گزینه بعدی 0.09% معادل حدود 913 دلار است.")</f>
        <v>بهترین مسیر امروز برای رفع تعهد با منشأ ارز دلار استانبول، «اظهارنامه با ارز از مسیر دوبی» است.
هزینه تمام‌شده این مسیر 0.50% معادل حدود 5,000 دلار است.
مشتری  بابت تبدیل دلار استانبول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0.59% معادل حدود 5,913 دلار.
- اظهارنامه با ارز مستقیم استانبول: هزینه تمام‌شده 1.50% معادل حدود 15,000 دلار.
اختلاف بهترین مسیر با نزدیک‌ترین گزینه بعدی 0.09% معادل حدود 913 دلار است.</v>
      </c>
      <c r="P7" s="69" t="str">
        <f t="shared" si="8"/>
        <v>اقدام: تبدیل منشأ به دلار دوبی، ثبت اردر اظهارنامه با ارز از مسیر دوبی و هماهنگی ورود ارز.</v>
      </c>
      <c r="Q7" s="69" t="str">
        <f t="shared" si="9"/>
        <v>- دلار استانبول: اظهارنامه با ارز از مسیر دوبی | هزینه 0.50% | صرفه نسبت به گزینه بعدی 0.09%</v>
      </c>
      <c r="R7" s="61"/>
      <c r="S7" s="61"/>
      <c r="T7" s="61"/>
      <c r="U7" s="61"/>
      <c r="V7" s="61"/>
      <c r="W7" s="61"/>
      <c r="X7" s="61"/>
      <c r="Y7" s="61"/>
      <c r="Z7" s="61"/>
    </row>
    <row r="8" ht="52.5" customHeight="1">
      <c r="A8" s="69" t="s">
        <v>49</v>
      </c>
      <c r="B8" s="70" t="s">
        <v>50</v>
      </c>
      <c r="C8" s="71" t="str">
        <f t="array" ref="C8">INDEX(Conversion_Matrix!$B$3:$F$7,MATCH($A8,Conversion_Matrix!$A$3:$A$7,0),MATCH("USD_Tehran",Conversion_Matrix!$B$2:$F$2,0))</f>
        <v/>
      </c>
      <c r="D8" s="71">
        <f>Fees_Settings!$E$3</f>
        <v>0.007</v>
      </c>
      <c r="E8" s="71">
        <f t="shared" si="1"/>
        <v>0.007</v>
      </c>
      <c r="F8" s="71" t="str">
        <f t="array" ref="F8">INDEX(Conversion_Matrix!$B$3:$F$7,MATCH($A8,Conversion_Matrix!$A$3:$A$7,0),MATCH("USD_Dubai",Conversion_Matrix!$B$2:$F$2,0))</f>
        <v/>
      </c>
      <c r="G8" s="71">
        <f>Fees_Settings!$E$4</f>
        <v>0.005</v>
      </c>
      <c r="H8" s="71">
        <f t="shared" si="2"/>
        <v>0.005</v>
      </c>
      <c r="I8" s="71" t="str">
        <f>IF($A8="USD_Istanbul",Fees_Settings!$E$5,"")</f>
        <v/>
      </c>
      <c r="J8" s="69" t="str">
        <f t="shared" si="3"/>
        <v>اظهارنامه با ارز از مسیر دوبی</v>
      </c>
      <c r="K8" s="71">
        <f t="shared" si="4"/>
        <v>0.005</v>
      </c>
      <c r="L8" s="71">
        <f t="shared" si="5"/>
        <v>0.007</v>
      </c>
      <c r="M8" s="71">
        <f t="shared" si="6"/>
        <v>0.002</v>
      </c>
      <c r="N8" s="72">
        <f t="shared" si="7"/>
        <v>5000</v>
      </c>
      <c r="O8" s="69" t="str">
        <f>IFERROR(__xludf.DUMMYFUNCTION("LET(
routes,{""اظهارنامه بدون ارز"",E8;""اظهارنامه با ارز از مسیر دوبی"",H8;""اظهارنامه با ارز مستقیم استانبول"",I8},
nextRoutes,SORT(FILTER(routes,INDEX(routes,,1)&lt;&gt;J8,INDEX(routes,,2)&gt;0),2,TRUE),
""بهترین مسیر امروز برای رفع تعهد با منشأ ارز ""&amp;B8&amp;""، «"&amp;"""&amp;J8&amp;""» است.""&amp;CHAR(10)&amp;
""هزینه تمام‌شده این مسیر ""&amp;TEXT(K8,""0.00%"")&amp;"" معادل حدود ""&amp;TEXT(N8,""#,##0"")&amp;"" دلار است.""&amp;CHAR(10)&amp;CHAR(10)&amp;
IF(J8=""اظهارنامه بدون ارز"",
""مشتری ""&amp;TEXT(D8,""0.00%"")&amp;"" هزینه کارمزد اظهارنامه بدون ارز پرداخت می‌کند و"&amp;" ""&amp;IF(C8&lt;0,TEXT(ABS(C8),""0.00%"")&amp;"" بابت تبدیل ""&amp;B8&amp;"" به دلار تهران سر می‌گیرد"",TEXT(C8,""0.00%"")&amp;"" بابت تبدیل ""&amp;B8&amp;"" به دلار تهران هزینه می‌دهد"")&amp;""؛ بنابراین هزینه نهایی ""&amp;TEXT(E8,""0.00%"")&amp;"" می‌شود."",
IF(J8=""اظهارنامه با ارز از مسیر دوب"&amp;"ی"",
""مشتری ""&amp;IF(F8&lt;0,TEXT(ABS(F8),""0.00%"")&amp;"" بابت تبدیل ""&amp;B8&amp;"" به دلار دوبی سر می‌گیرد"",TEXT(F8,""0.00%"")&amp;"" بابت تبدیل ""&amp;B8&amp;"" به دلار دوبی هزینه می‌دهد"")&amp;"" و ""&amp;TEXT(G8,""0.00%"")&amp;"" هزینه انتقال / ورود ارز از مسیر دوبی پرداخت می‌کند؛ بنابر"&amp;"این هزینه نهایی ""&amp;TEXT(H8,""0.00%"")&amp;"" می‌شود."",
""مشتری از مسیر مستقیم استانبول استفاده می‌کند. این مسیر شامل تبدیل ارز و هزینه انتقال است و کارمزد ثابت آن ""&amp;TEXT(I8,""0.00%"")&amp;"" است.""
))&amp;CHAR(10)&amp;CHAR(10)&amp;
""گزینه‌های بعدی به ترتیب هزینه:""&amp;CHAR(1"&amp;"0)&amp;
TEXTJOIN(CHAR(10),TRUE,ARRAYFORMULA(""- ""&amp;INDEX(nextRoutes,,1)&amp;"": هزینه تمام‌شده ""&amp;TEXT(INDEX(nextRoutes,,2),""0.00%"")&amp;"" معادل حدود ""&amp;TEXT($B$3*INDEX(nextRoutes,,2),""#,##0"")&amp;"" دلار.""))&amp;CHAR(10)&amp;CHAR(10)&amp;
""اختلاف بهترین مسیر با نزدیک‌ترین گز"&amp;"ینه بعدی ""&amp;TEXT(M8,""0.00%"")&amp;"" معادل حدود ""&amp;TEXT($B$3*M8,""#,##0"")&amp;"" دلار است.""
)"),"بهترین مسیر امروز برای رفع تعهد با منشأ ارز دلار سلیمانیه، «اظهارنامه با ارز از مسیر دوبی» است.
هزینه تمام‌شده این مسیر 0.50% معادل حدود 5,000 دلار است.
مشتری  بابت تبدیل دلار سلیمانیه به دلار دوبی هزینه می‌دهد و 0.50% هزینه انتقال / ورود ارز از مسیر دوب"&amp;"ی پرداخت می‌کند؛ بنابراین هزینه نهایی 0.50% می‌شود.
گزینه‌های بعدی به ترتیب هزینه:
- اظهارنامه بدون ارز: هزینه تمام‌شده 0.70% معادل حدود 7,000 دلار.
- اظهارنامه با ارز مستقیم استانبول: هزینه تمام‌شده  معادل حدود 0 دلار.
اختلاف بهترین مسیر با نزدیک‌ترین "&amp;"گزینه بعدی 0.20% معادل حدود 2,000 دلار است.")</f>
        <v>بهترین مسیر امروز برای رفع تعهد با منشأ ارز دلار سلیمانیه، «اظهارنامه با ارز از مسیر دوبی» است.
هزینه تمام‌شده این مسیر 0.50% معادل حدود 5,000 دلار است.
مشتری  بابت تبدیل دلار سلیمانیه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0.70% معادل حدود 7,000 دلار.
- اظهارنامه با ارز مستقیم استانبول: هزینه تمام‌شده  معادل حدود 0 دلار.
اختلاف بهترین مسیر با نزدیک‌ترین گزینه بعدی 0.20% معادل حدود 2,000 دلار است.</v>
      </c>
      <c r="P8" s="69" t="str">
        <f t="shared" si="8"/>
        <v>اقدام: تبدیل منشأ به دلار دوبی، ثبت اردر اظهارنامه با ارز از مسیر دوبی و هماهنگی ورود ارز.</v>
      </c>
      <c r="Q8" s="69" t="str">
        <f t="shared" si="9"/>
        <v>- دلار سلیمانیه: اظهارنامه با ارز از مسیر دوبی | هزینه 0.50% | صرفه نسبت به گزینه بعدی 0.20%</v>
      </c>
      <c r="R8" s="61"/>
      <c r="S8" s="61"/>
      <c r="T8" s="61"/>
      <c r="U8" s="61"/>
      <c r="V8" s="61"/>
      <c r="W8" s="61"/>
      <c r="X8" s="61"/>
      <c r="Y8" s="61"/>
      <c r="Z8" s="61"/>
    </row>
    <row r="9" ht="52.5" customHeight="1">
      <c r="A9" s="69" t="s">
        <v>41</v>
      </c>
      <c r="B9" s="70" t="s">
        <v>42</v>
      </c>
      <c r="C9" s="71">
        <f t="array" ref="C9">INDEX(Conversion_Matrix!$B$3:$F$7,MATCH($A9,Conversion_Matrix!$A$3:$A$7,0),MATCH("USD_Tehran",Conversion_Matrix!$B$2:$F$2,0))</f>
        <v>0.00272851296</v>
      </c>
      <c r="D9" s="71">
        <f>Fees_Settings!$E$3</f>
        <v>0.007</v>
      </c>
      <c r="E9" s="71">
        <f t="shared" si="1"/>
        <v>0.00972851296</v>
      </c>
      <c r="F9" s="71" t="str">
        <f t="array" ref="F9">INDEX(Conversion_Matrix!$B$3:$F$7,MATCH($A9,Conversion_Matrix!$A$3:$A$7,0),MATCH("USD_Dubai",Conversion_Matrix!$B$2:$F$2,0))</f>
        <v/>
      </c>
      <c r="G9" s="71">
        <f>Fees_Settings!$E$4</f>
        <v>0.005</v>
      </c>
      <c r="H9" s="71">
        <f t="shared" si="2"/>
        <v>0.005</v>
      </c>
      <c r="I9" s="71" t="str">
        <f>IF($A9="USD_Istanbul",Fees_Settings!$E$5,"")</f>
        <v/>
      </c>
      <c r="J9" s="69" t="str">
        <f t="shared" si="3"/>
        <v>اظهارنامه با ارز از مسیر دوبی</v>
      </c>
      <c r="K9" s="71">
        <f t="shared" si="4"/>
        <v>0.005</v>
      </c>
      <c r="L9" s="71">
        <f t="shared" si="5"/>
        <v>0.00972851296</v>
      </c>
      <c r="M9" s="71">
        <f t="shared" si="6"/>
        <v>0.00472851296</v>
      </c>
      <c r="N9" s="72">
        <f t="shared" si="7"/>
        <v>5000</v>
      </c>
      <c r="O9" s="69" t="str">
        <f>IFERROR(__xludf.DUMMYFUNCTION("LET(
routes,{""اظهارنامه بدون ارز"",E9;""اظهارنامه با ارز از مسیر دوبی"",H9;""اظهارنامه با ارز مستقیم استانبول"",I9},
nextRoutes,SORT(FILTER(routes,INDEX(routes,,1)&lt;&gt;J9,INDEX(routes,,2)&gt;0),2,TRUE),
""بهترین مسیر امروز برای رفع تعهد با منشأ ارز ""&amp;B9&amp;""، «"&amp;"""&amp;J9&amp;""» است.""&amp;CHAR(10)&amp;
""هزینه تمام‌شده این مسیر ""&amp;TEXT(K9,""0.00%"")&amp;"" معادل حدود ""&amp;TEXT(N9,""#,##0"")&amp;"" دلار است.""&amp;CHAR(10)&amp;CHAR(10)&amp;
IF(J9=""اظهارنامه بدون ارز"",
""مشتری ""&amp;TEXT(D9,""0.00%"")&amp;"" هزینه کارمزد اظهارنامه بدون ارز پرداخت می‌کند و"&amp;" ""&amp;IF(C9&lt;0,TEXT(ABS(C9),""0.00%"")&amp;"" بابت تبدیل ""&amp;B9&amp;"" به دلار تهران سر می‌گیرد"",TEXT(C9,""0.00%"")&amp;"" بابت تبدیل ""&amp;B9&amp;"" به دلار تهران هزینه می‌دهد"")&amp;""؛ بنابراین هزینه نهایی ""&amp;TEXT(E9,""0.00%"")&amp;"" می‌شود."",
IF(J9=""اظهارنامه با ارز از مسیر دوب"&amp;"ی"",
""مشتری ""&amp;IF(F9&lt;0,TEXT(ABS(F9),""0.00%"")&amp;"" بابت تبدیل ""&amp;B9&amp;"" به دلار دوبی سر می‌گیرد"",TEXT(F9,""0.00%"")&amp;"" بابت تبدیل ""&amp;B9&amp;"" به دلار دوبی هزینه می‌دهد"")&amp;"" و ""&amp;TEXT(G9,""0.00%"")&amp;"" هزینه انتقال / ورود ارز از مسیر دوبی پرداخت می‌کند؛ بنابر"&amp;"این هزینه نهایی ""&amp;TEXT(H9,""0.00%"")&amp;"" می‌شود."",
""مشتری از مسیر مستقیم استانبول استفاده می‌کند. این مسیر شامل تبدیل ارز و هزینه انتقال است و کارمزد ثابت آن ""&amp;TEXT(I9,""0.00%"")&amp;"" است.""
))&amp;CHAR(10)&amp;CHAR(10)&amp;
""گزینه‌های بعدی به ترتیب هزینه:""&amp;CHAR(1"&amp;"0)&amp;
TEXTJOIN(CHAR(10),TRUE,ARRAYFORMULA(""- ""&amp;INDEX(nextRoutes,,1)&amp;"": هزینه تمام‌شده ""&amp;TEXT(INDEX(nextRoutes,,2),""0.00%"")&amp;"" معادل حدود ""&amp;TEXT($B$3*INDEX(nextRoutes,,2),""#,##0"")&amp;"" دلار.""))&amp;CHAR(10)&amp;CHAR(10)&amp;
""اختلاف بهترین مسیر با نزدیک‌ترین گز"&amp;"ینه بعدی ""&amp;TEXT(M9,""0.00%"")&amp;"" معادل حدود ""&amp;TEXT($B$3*M9,""#,##0"")&amp;"" دلار است.""
)"),"بهترین مسیر امروز برای رفع تعهد با منشأ ارز دلار تتر، «اظهارنامه با ارز از مسیر دوبی» است.
هزینه تمام‌شده این مسیر 0.50% معادل حدود 5,000 دلار است.
مشتری  بابت تبدیل دلار تتر به دلار دوبی هزینه می‌دهد و 0.50% هزینه انتقال / ورود ارز از مسیر دوبی پرداخت م"&amp;"ی‌کند؛ بنابراین هزینه نهایی 0.50% می‌شود.
گزینه‌های بعدی به ترتیب هزینه:
- اظهارنامه بدون ارز: هزینه تمام‌شده 0.97% معادل حدود 9,729 دلار.
- اظهارنامه با ارز مستقیم استانبول: هزینه تمام‌شده  معادل حدود 0 دلار.
اختلاف بهترین مسیر با نزدیک‌ترین گزینه بعدی"&amp;" 0.47% معادل حدود 4,729 دلار است.")</f>
        <v>بهترین مسیر امروز برای رفع تعهد با منشأ ارز دلار تتر، «اظهارنامه با ارز از مسیر دوبی» است.
هزینه تمام‌شده این مسیر 0.50% معادل حدود 5,000 دلار است.
مشتری  بابت تبدیل دلار تتر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0.97% معادل حدود 9,729 دلار.
- اظهارنامه با ارز مستقیم استانبول: هزینه تمام‌شده  معادل حدود 0 دلار.
اختلاف بهترین مسیر با نزدیک‌ترین گزینه بعدی 0.47% معادل حدود 4,729 دلار است.</v>
      </c>
      <c r="P9" s="69" t="str">
        <f t="shared" si="8"/>
        <v>اقدام: تبدیل منشأ به دلار دوبی، ثبت اردر اظهارنامه با ارز از مسیر دوبی و هماهنگی ورود ارز.</v>
      </c>
      <c r="Q9" s="69" t="str">
        <f t="shared" si="9"/>
        <v>- دلار تتر: اظهارنامه با ارز از مسیر دوبی | هزینه 0.50% | صرفه نسبت به گزینه بعدی 0.47%</v>
      </c>
      <c r="R9" s="61"/>
      <c r="S9" s="61"/>
      <c r="T9" s="61"/>
      <c r="U9" s="61"/>
      <c r="V9" s="61"/>
      <c r="W9" s="61"/>
      <c r="X9" s="61"/>
      <c r="Y9" s="61"/>
      <c r="Z9" s="61"/>
    </row>
    <row r="10" ht="52.5" customHeight="1">
      <c r="A10" s="69" t="s">
        <v>52</v>
      </c>
      <c r="B10" s="70" t="s">
        <v>53</v>
      </c>
      <c r="C10" s="71">
        <f t="array" ref="C10">INDEX(Conversion_Matrix!$B$3:$F$7,MATCH($A10,Conversion_Matrix!$A$3:$A$7,0),MATCH("USD_Tehran",Conversion_Matrix!$B$2:$F$2,0))</f>
        <v>0.00272851296</v>
      </c>
      <c r="D10" s="71">
        <f>Fees_Settings!$E$3</f>
        <v>0.007</v>
      </c>
      <c r="E10" s="71">
        <f t="shared" si="1"/>
        <v>0.00972851296</v>
      </c>
      <c r="F10" s="71" t="str">
        <f t="array" ref="F10">INDEX(Conversion_Matrix!$B$3:$F$7,MATCH($A10,Conversion_Matrix!$A$3:$A$7,0),MATCH("USD_Dubai",Conversion_Matrix!$B$2:$F$2,0))</f>
        <v/>
      </c>
      <c r="G10" s="71">
        <f>Fees_Settings!$E$4</f>
        <v>0.005</v>
      </c>
      <c r="H10" s="71">
        <f t="shared" si="2"/>
        <v>0.005</v>
      </c>
      <c r="I10" s="71" t="str">
        <f>IF($A10="USD_Istanbul",Fees_Settings!$E$5,"")</f>
        <v/>
      </c>
      <c r="J10" s="69" t="str">
        <f t="shared" si="3"/>
        <v>اظهارنامه با ارز از مسیر دوبی</v>
      </c>
      <c r="K10" s="71">
        <f t="shared" si="4"/>
        <v>0.005</v>
      </c>
      <c r="L10" s="71">
        <f t="shared" si="5"/>
        <v>0.00972851296</v>
      </c>
      <c r="M10" s="71">
        <f t="shared" si="6"/>
        <v>0.00472851296</v>
      </c>
      <c r="N10" s="72">
        <f t="shared" si="7"/>
        <v>5000</v>
      </c>
      <c r="O10" s="69" t="str">
        <f>IFERROR(__xludf.DUMMYFUNCTION("LET(
routes,{""اظهارنامه بدون ارز"",E10;""اظهارنامه با ارز از مسیر دوبی"",H10;""اظهارنامه با ارز مستقیم استانبول"",I10},
nextRoutes,SORT(FILTER(routes,INDEX(routes,,1)&lt;&gt;J10,INDEX(routes,,2)&gt;0),2,TRUE),
""بهترین مسیر امروز برای رفع تعهد با منشأ ارز ""&amp;B10&amp;"&amp;"""، «""&amp;J10&amp;""» است.""&amp;CHAR(10)&amp;
""هزینه تمام‌شده این مسیر ""&amp;TEXT(K10,""0.00%"")&amp;"" معادل حدود ""&amp;TEXT(N10,""#,##0"")&amp;"" دلار است.""&amp;CHAR(10)&amp;CHAR(10)&amp;
IF(J10=""اظهارنامه بدون ارز"",
""مشتری ""&amp;TEXT(D10,""0.00%"")&amp;"" هزینه کارمزد اظهارنامه بدون ارز پرداخ"&amp;"ت می‌کند و ""&amp;IF(C10&lt;0,TEXT(ABS(C10),""0.00%"")&amp;"" بابت تبدیل ""&amp;B10&amp;"" به دلار تهران سر می‌گیرد"",TEXT(C10,""0.00%"")&amp;"" بابت تبدیل ""&amp;B10&amp;"" به دلار تهران هزینه می‌دهد"")&amp;""؛ بنابراین هزینه نهایی ""&amp;TEXT(E10,""0.00%"")&amp;"" می‌شود."",
IF(J10=""اظهارنامه ب"&amp;"ا ارز از مسیر دوبی"",
""مشتری ""&amp;IF(F10&lt;0,TEXT(ABS(F10),""0.00%"")&amp;"" بابت تبدیل ""&amp;B10&amp;"" به دلار دوبی سر می‌گیرد"",TEXT(F10,""0.00%"")&amp;"" بابت تبدیل ""&amp;B10&amp;"" به دلار دوبی هزینه می‌دهد"")&amp;"" و ""&amp;TEXT(G10,""0.00%"")&amp;"" هزینه انتقال / ورود ارز از مسیر دو"&amp;"بی پرداخت می‌کند؛ بنابراین هزینه نهایی ""&amp;TEXT(H10,""0.00%"")&amp;"" می‌شود."",
""مشتری از مسیر مستقیم استانبول استفاده می‌کند. این مسیر شامل تبدیل ارز و هزینه انتقال است و کارمزد ثابت آن ""&amp;TEXT(I10,""0.00%"")&amp;"" است.""
))&amp;CHAR(10)&amp;CHAR(10)&amp;
""گزینه‌های بعدی"&amp;" به ترتیب هزینه:""&amp;CHAR(10)&amp;
TEXTJOIN(CHAR(10),TRUE,ARRAYFORMULA(""- ""&amp;INDEX(nextRoutes,,1)&amp;"": هزینه تمام‌شده ""&amp;TEXT(INDEX(nextRoutes,,2),""0.00%"")&amp;"" معادل حدود ""&amp;TEXT($B$3*INDEX(nextRoutes,,2),""#,##0"")&amp;"" دلار.""))&amp;CHAR(10)&amp;CHAR(10)&amp;
""اختلاف بهت"&amp;"رین مسیر با نزدیک‌ترین گزینه بعدی ""&amp;TEXT(M10,""0.00%"")&amp;"" معادل حدود ""&amp;TEXT($B$3*M10,""#,##0"")&amp;"" دلار است.""
)"),"بهترین مسیر امروز برای رفع تعهد با منشأ ارز درهم دوبی، «اظهارنامه با ارز از مسیر دوبی» است.
هزینه تمام‌شده این مسیر 0.50% معادل حدود 5,000 دلار است.
مشتری  بابت تبدیل درهم دوبی به دلار دوبی هزینه می‌دهد و 0.50% هزینه انتقال / ورود ارز از مسیر دوبی پرداخت"&amp;" می‌کند؛ بنابراین هزینه نهایی 0.50% می‌شود.
گزینه‌های بعدی به ترتیب هزینه:
- اظهارنامه بدون ارز: هزینه تمام‌شده 0.97% معادل حدود 9,729 دلار.
- اظهارنامه با ارز مستقیم استانبول: هزینه تمام‌شده  معادل حدود 0 دلار.
اختلاف بهترین مسیر با نزدیک‌ترین گزینه بع"&amp;"دی 0.47% معادل حدود 4,729 دلار است.")</f>
        <v>بهترین مسیر امروز برای رفع تعهد با منشأ ارز درهم دوبی، «اظهارنامه با ارز از مسیر دوبی» است.
هزینه تمام‌شده این مسیر 0.50% معادل حدود 5,000 دلار است.
مشتری  بابت تبدیل درهم دوبی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0.97% معادل حدود 9,729 دلار.
- اظهارنامه با ارز مستقیم استانبول: هزینه تمام‌شده  معادل حدود 0 دلار.
اختلاف بهترین مسیر با نزدیک‌ترین گزینه بعدی 0.47% معادل حدود 4,729 دلار است.</v>
      </c>
      <c r="P10" s="69" t="str">
        <f t="shared" si="8"/>
        <v>اقدام: تبدیل منشأ به دلار دوبی، ثبت اردر اظهارنامه با ارز از مسیر دوبی و هماهنگی ورود ارز.</v>
      </c>
      <c r="Q10" s="69" t="str">
        <f t="shared" si="9"/>
        <v>- درهم دوبی: اظهارنامه با ارز از مسیر دوبی | هزینه 0.50% | صرفه نسبت به گزینه بعدی 0.47%</v>
      </c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37.5" customHeight="1">
      <c r="A12" s="73" t="s">
        <v>129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  <c r="R12" s="61"/>
      <c r="S12" s="61"/>
      <c r="T12" s="61"/>
      <c r="U12" s="61"/>
      <c r="V12" s="61"/>
      <c r="W12" s="61"/>
      <c r="X12" s="61"/>
      <c r="Y12" s="61"/>
      <c r="Z12" s="61"/>
    </row>
    <row r="13" ht="216.0" customHeight="1">
      <c r="A13" s="74" t="str">
        <f>"گزارش تصمیم‌سازی روزانه رفع تعهد / اظهارنامه"&amp;CHAR(10)&amp;"تاریخ: "&amp;$B$2&amp;CHAR(10)&amp;"مبلغ مبنا برای محاسبه هزینه دلاری: "&amp;TEXT($B$3,"#,##0")&amp;" دلار"&amp;CHAR(10)&amp;CHAR(10)&amp;Q6&amp;CHAR(10)&amp;Q7&amp;CHAR(10)&amp;Q8&amp;CHAR(10)&amp;Q9&amp;CHAR(10)&amp;Q10&amp;CHAR(10)&amp;CHAR(10)&amp;"جمع‌بندی: جدول بالا همه منشأهای ارزی را با سه مسیر فعال مقایسه می‌کند: اظهارنامه بدون ارز، اظهارنامه با ارز از مسیر دوبی، و مسیر مستقیم استانبول در صورت فعال بودن."</f>
        <v>گزارش تصمیم‌سازی روزانه رفع تعهد / اظهارنامه
تاریخ: -180686
مبلغ مبنا برای محاسبه هزینه دلاری: 1,000,000 دلار
- دلار تهران: اظهارنامه با ارز از مسیر دوبی | هزینه 0.50% | صرفه نسبت به گزینه بعدی 0.20%
- دلار استانبول: اظهارنامه با ارز از مسیر دوبی | هزینه 0.50% | صرفه نسبت به گزینه بعدی 0.09%
- دلار سلیمانیه: اظهارنامه با ارز از مسیر دوبی | هزینه 0.50% | صرفه نسبت به گزینه بعدی 0.20%
- دلار تتر: اظهارنامه با ارز از مسیر دوبی | هزینه 0.50% | صرفه نسبت به گزینه بعدی 0.47%
- درهم دوبی: اظهارنامه با ارز از مسیر دوبی | هزینه 0.50% | صرفه نسبت به گزینه بعدی 0.47%
جمع‌بندی: جدول بالا همه منشأهای ارزی را با سه مسیر فعال مقایسه می‌کند: اظهارنامه بدون ارز، اظهارنامه با ارز از مسیر دوبی، و مسیر مستقیم استانبول در صورت فعال بودن.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3"/>
      <c r="R13" s="61"/>
      <c r="S13" s="61"/>
      <c r="T13" s="61"/>
      <c r="U13" s="61"/>
      <c r="V13" s="61"/>
      <c r="W13" s="61"/>
      <c r="X13" s="61"/>
      <c r="Y13" s="61"/>
      <c r="Z13" s="61"/>
    </row>
    <row r="14" ht="30.0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30.0" customHeight="1">
      <c r="A15" s="75" t="s">
        <v>130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3"/>
      <c r="Z15" s="61"/>
    </row>
    <row r="16" ht="30.0" customHeight="1">
      <c r="A16" s="76" t="s">
        <v>3</v>
      </c>
      <c r="B16" s="76" t="s">
        <v>22</v>
      </c>
      <c r="C16" s="76" t="s">
        <v>23</v>
      </c>
      <c r="D16" s="76" t="s">
        <v>4</v>
      </c>
      <c r="E16" s="76" t="s">
        <v>7</v>
      </c>
      <c r="F16" s="76" t="s">
        <v>10</v>
      </c>
      <c r="G16" s="76" t="s">
        <v>118</v>
      </c>
      <c r="H16" s="76" t="s">
        <v>119</v>
      </c>
      <c r="I16" s="76" t="s">
        <v>120</v>
      </c>
      <c r="J16" s="76" t="s">
        <v>122</v>
      </c>
      <c r="K16" s="76" t="s">
        <v>123</v>
      </c>
      <c r="L16" s="76" t="s">
        <v>131</v>
      </c>
      <c r="M16" s="76" t="s">
        <v>132</v>
      </c>
      <c r="N16" s="76" t="s">
        <v>133</v>
      </c>
      <c r="O16" s="76" t="s">
        <v>134</v>
      </c>
      <c r="P16" s="76" t="s">
        <v>135</v>
      </c>
      <c r="Q16" s="76" t="s">
        <v>136</v>
      </c>
      <c r="R16" s="76" t="s">
        <v>137</v>
      </c>
      <c r="S16" s="76" t="s">
        <v>138</v>
      </c>
      <c r="T16" s="76" t="s">
        <v>139</v>
      </c>
      <c r="U16" s="76" t="s">
        <v>140</v>
      </c>
      <c r="V16" s="76" t="s">
        <v>11</v>
      </c>
      <c r="W16" s="76" t="s">
        <v>13</v>
      </c>
      <c r="X16" s="76" t="s">
        <v>15</v>
      </c>
      <c r="Y16" s="76" t="s">
        <v>16</v>
      </c>
      <c r="Z16" s="61"/>
    </row>
    <row r="17" ht="33.0" customHeight="1">
      <c r="A17" s="77">
        <f t="shared" ref="A17:A21" si="14">$B$2</f>
        <v>-180686</v>
      </c>
      <c r="B17" s="78" t="str">
        <f t="shared" ref="B17:C17" si="10">A6</f>
        <v>USD_Tehran</v>
      </c>
      <c r="C17" s="78" t="str">
        <f t="shared" si="10"/>
        <v>دلار تهران</v>
      </c>
      <c r="D17" s="78" t="str">
        <f t="shared" ref="D17:E17" si="11">J6</f>
        <v>اظهارنامه با ارز از مسیر دوبی</v>
      </c>
      <c r="E17" s="79">
        <f t="shared" si="11"/>
        <v>0.005</v>
      </c>
      <c r="F17" s="80">
        <f t="shared" ref="F17:F21" si="17">N6</f>
        <v>5000</v>
      </c>
      <c r="G17" s="79">
        <f t="shared" ref="G17:G21" si="18">C6</f>
        <v>0</v>
      </c>
      <c r="H17" s="79">
        <f t="shared" ref="H17:I17" si="12">E6</f>
        <v>0.007</v>
      </c>
      <c r="I17" s="79" t="str">
        <f t="shared" si="12"/>
        <v/>
      </c>
      <c r="J17" s="79">
        <f t="shared" ref="J17:K17" si="13">H6</f>
        <v>0.005</v>
      </c>
      <c r="K17" s="79" t="str">
        <f t="shared" si="13"/>
        <v/>
      </c>
      <c r="L17" s="81">
        <f t="array" ref="L17">XLOOKUP("Tehran",Daily_Rates!$A:$A,Daily_Rates!$D:$D)</f>
        <v>3.665</v>
      </c>
      <c r="M17" s="81">
        <f t="array" ref="M17">XLOOKUP("Tehran",Daily_Rates!$A:$A,Daily_Rates!$E:$E)</f>
        <v>3.675</v>
      </c>
      <c r="N17" s="81" t="str">
        <f t="array" ref="N17">XLOOKUP("Dubai",Daily_Rates!$A:$A,Daily_Rates!$D:$D)</f>
        <v>-</v>
      </c>
      <c r="O17" s="81" t="str">
        <f t="array" ref="O17">XLOOKUP("Dubai",Daily_Rates!$A:$A,Daily_Rates!$E:$E)</f>
        <v>-</v>
      </c>
      <c r="P17" s="81">
        <f t="array" ref="P17">XLOOKUP("Istanbul",Daily_Rates!$A:$A,Daily_Rates!$D:$D)</f>
        <v>3.679</v>
      </c>
      <c r="Q17" s="81">
        <f t="array" ref="Q17">XLOOKUP("Istanbul",Daily_Rates!$A:$A,Daily_Rates!$E:$E)</f>
        <v>3.685</v>
      </c>
      <c r="R17" s="81" t="str">
        <f t="array" ref="R17">XLOOKUP("Sulaymaniyah",Daily_Rates!$A:$A,Daily_Rates!$D:$D)</f>
        <v>-</v>
      </c>
      <c r="S17" s="81" t="str">
        <f t="array" ref="S17">XLOOKUP("Sulaymaniyah",Daily_Rates!$A:$A,Daily_Rates!$E:$E)</f>
        <v>-</v>
      </c>
      <c r="T17" s="81">
        <f t="array" ref="T17">XLOOKUP("Tether",Daily_Rates!$A:$A,Daily_Rates!$D:$D)</f>
        <v>3.665</v>
      </c>
      <c r="U17" s="81">
        <f t="array" ref="U17">XLOOKUP("Tether",Daily_Rates!$A:$A,Daily_Rates!$E:$E)</f>
        <v>3.67</v>
      </c>
      <c r="V17" s="79">
        <f>Fees_Settings!$E$3</f>
        <v>0.007</v>
      </c>
      <c r="W17" s="79">
        <f>Fees_Settings!$E$4</f>
        <v>0.005</v>
      </c>
      <c r="X17" s="79">
        <f>Fees_Settings!$E$5</f>
        <v>0.015</v>
      </c>
      <c r="Y17" s="78" t="str">
        <f t="shared" ref="Y17:Y21" si="21">O6</f>
        <v>بهترین مسیر امروز برای رفع تعهد با منشأ ارز دلار تهران، «اظهارنامه با ارز از مسیر دوبی» است.
هزینه تمام‌شده این مسیر 0.50% معادل حدود 5,000 دلار است.
مشتری  بابت تبدیل دلار تهران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0.70% معادل حدود 7,000 دلار.
- اظهارنامه با ارز مستقیم استانبول: هزینه تمام‌شده  معادل حدود 0 دلار.
اختلاف بهترین مسیر با نزدیک‌ترین گزینه بعدی 0.20% معادل حدود 2,000 دلار است.</v>
      </c>
      <c r="Z17" s="61"/>
    </row>
    <row r="18" ht="30.0" customHeight="1">
      <c r="A18" s="77">
        <f t="shared" si="14"/>
        <v>-180686</v>
      </c>
      <c r="B18" s="78" t="str">
        <f t="shared" ref="B18:C18" si="15">A7</f>
        <v>USD_Istanbul</v>
      </c>
      <c r="C18" s="78" t="str">
        <f t="shared" si="15"/>
        <v>دلار استانبول</v>
      </c>
      <c r="D18" s="78" t="str">
        <f t="shared" ref="D18:E18" si="16">J7</f>
        <v>اظهارنامه با ارز از مسیر دوبی</v>
      </c>
      <c r="E18" s="79">
        <f t="shared" si="16"/>
        <v>0.005</v>
      </c>
      <c r="F18" s="80">
        <f t="shared" si="17"/>
        <v>5000</v>
      </c>
      <c r="G18" s="79">
        <f t="shared" si="18"/>
        <v>-0.001087251971</v>
      </c>
      <c r="H18" s="79">
        <f t="shared" ref="H18:I18" si="19">E7</f>
        <v>0.005912748029</v>
      </c>
      <c r="I18" s="79" t="str">
        <f t="shared" si="19"/>
        <v/>
      </c>
      <c r="J18" s="79">
        <f t="shared" ref="J18:K18" si="20">H7</f>
        <v>0.005</v>
      </c>
      <c r="K18" s="79">
        <f t="shared" si="20"/>
        <v>0.015</v>
      </c>
      <c r="L18" s="81">
        <f t="array" ref="L18">XLOOKUP("Tehran",Daily_Rates!$A:$A,Daily_Rates!$D:$D)</f>
        <v>3.665</v>
      </c>
      <c r="M18" s="81">
        <f t="array" ref="M18">XLOOKUP("Tehran",Daily_Rates!$A:$A,Daily_Rates!$E:$E)</f>
        <v>3.675</v>
      </c>
      <c r="N18" s="81" t="str">
        <f t="array" ref="N18">XLOOKUP("Dubai",Daily_Rates!$A:$A,Daily_Rates!$D:$D)</f>
        <v>-</v>
      </c>
      <c r="O18" s="81" t="str">
        <f t="array" ref="O18">XLOOKUP("Dubai",Daily_Rates!$A:$A,Daily_Rates!$E:$E)</f>
        <v>-</v>
      </c>
      <c r="P18" s="81">
        <f t="array" ref="P18">XLOOKUP("Istanbul",Daily_Rates!$A:$A,Daily_Rates!$D:$D)</f>
        <v>3.679</v>
      </c>
      <c r="Q18" s="81">
        <f t="array" ref="Q18">XLOOKUP("Istanbul",Daily_Rates!$A:$A,Daily_Rates!$E:$E)</f>
        <v>3.685</v>
      </c>
      <c r="R18" s="81" t="str">
        <f t="array" ref="R18">XLOOKUP("Sulaymaniyah",Daily_Rates!$A:$A,Daily_Rates!$D:$D)</f>
        <v>-</v>
      </c>
      <c r="S18" s="81" t="str">
        <f t="array" ref="S18">XLOOKUP("Sulaymaniyah",Daily_Rates!$A:$A,Daily_Rates!$E:$E)</f>
        <v>-</v>
      </c>
      <c r="T18" s="81">
        <f t="array" ref="T18">XLOOKUP("Tether",Daily_Rates!$A:$A,Daily_Rates!$D:$D)</f>
        <v>3.665</v>
      </c>
      <c r="U18" s="81">
        <f t="array" ref="U18">XLOOKUP("Tether",Daily_Rates!$A:$A,Daily_Rates!$E:$E)</f>
        <v>3.67</v>
      </c>
      <c r="V18" s="79">
        <f>Fees_Settings!$E$3</f>
        <v>0.007</v>
      </c>
      <c r="W18" s="79">
        <f>Fees_Settings!$E$4</f>
        <v>0.005</v>
      </c>
      <c r="X18" s="79">
        <f>Fees_Settings!$E$5</f>
        <v>0.015</v>
      </c>
      <c r="Y18" s="78" t="str">
        <f t="shared" si="21"/>
        <v>بهترین مسیر امروز برای رفع تعهد با منشأ ارز دلار استانبول، «اظهارنامه با ارز از مسیر دوبی» است.
هزینه تمام‌شده این مسیر 0.50% معادل حدود 5,000 دلار است.
مشتری  بابت تبدیل دلار استانبول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0.59% معادل حدود 5,913 دلار.
- اظهارنامه با ارز مستقیم استانبول: هزینه تمام‌شده 1.50% معادل حدود 15,000 دلار.
اختلاف بهترین مسیر با نزدیک‌ترین گزینه بعدی 0.09% معادل حدود 913 دلار است.</v>
      </c>
      <c r="Z18" s="61"/>
    </row>
    <row r="19" ht="30.0" customHeight="1">
      <c r="A19" s="77">
        <f t="shared" si="14"/>
        <v>-180686</v>
      </c>
      <c r="B19" s="78" t="str">
        <f t="shared" ref="B19:C19" si="22">A8</f>
        <v>USD_Sulaymaniyah</v>
      </c>
      <c r="C19" s="78" t="str">
        <f t="shared" si="22"/>
        <v>دلار سلیمانیه</v>
      </c>
      <c r="D19" s="78" t="str">
        <f t="shared" ref="D19:E19" si="23">J8</f>
        <v>اظهارنامه با ارز از مسیر دوبی</v>
      </c>
      <c r="E19" s="79">
        <f t="shared" si="23"/>
        <v>0.005</v>
      </c>
      <c r="F19" s="80">
        <f t="shared" si="17"/>
        <v>5000</v>
      </c>
      <c r="G19" s="79" t="str">
        <f t="shared" si="18"/>
        <v/>
      </c>
      <c r="H19" s="79">
        <f t="shared" ref="H19:I19" si="24">E8</f>
        <v>0.007</v>
      </c>
      <c r="I19" s="79" t="str">
        <f t="shared" si="24"/>
        <v/>
      </c>
      <c r="J19" s="79">
        <f t="shared" ref="J19:K19" si="25">H8</f>
        <v>0.005</v>
      </c>
      <c r="K19" s="79" t="str">
        <f t="shared" si="25"/>
        <v/>
      </c>
      <c r="L19" s="81">
        <f t="array" ref="L19">XLOOKUP("Tehran",Daily_Rates!$A:$A,Daily_Rates!$D:$D)</f>
        <v>3.665</v>
      </c>
      <c r="M19" s="81">
        <f t="array" ref="M19">XLOOKUP("Tehran",Daily_Rates!$A:$A,Daily_Rates!$E:$E)</f>
        <v>3.675</v>
      </c>
      <c r="N19" s="81" t="str">
        <f t="array" ref="N19">XLOOKUP("Dubai",Daily_Rates!$A:$A,Daily_Rates!$D:$D)</f>
        <v>-</v>
      </c>
      <c r="O19" s="81" t="str">
        <f t="array" ref="O19">XLOOKUP("Dubai",Daily_Rates!$A:$A,Daily_Rates!$E:$E)</f>
        <v>-</v>
      </c>
      <c r="P19" s="81">
        <f t="array" ref="P19">XLOOKUP("Istanbul",Daily_Rates!$A:$A,Daily_Rates!$D:$D)</f>
        <v>3.679</v>
      </c>
      <c r="Q19" s="81">
        <f t="array" ref="Q19">XLOOKUP("Istanbul",Daily_Rates!$A:$A,Daily_Rates!$E:$E)</f>
        <v>3.685</v>
      </c>
      <c r="R19" s="81" t="str">
        <f t="array" ref="R19">XLOOKUP("Sulaymaniyah",Daily_Rates!$A:$A,Daily_Rates!$D:$D)</f>
        <v>-</v>
      </c>
      <c r="S19" s="81" t="str">
        <f t="array" ref="S19">XLOOKUP("Sulaymaniyah",Daily_Rates!$A:$A,Daily_Rates!$E:$E)</f>
        <v>-</v>
      </c>
      <c r="T19" s="81">
        <f t="array" ref="T19">XLOOKUP("Tether",Daily_Rates!$A:$A,Daily_Rates!$D:$D)</f>
        <v>3.665</v>
      </c>
      <c r="U19" s="81">
        <f t="array" ref="U19">XLOOKUP("Tether",Daily_Rates!$A:$A,Daily_Rates!$E:$E)</f>
        <v>3.67</v>
      </c>
      <c r="V19" s="79">
        <f>Fees_Settings!$E$3</f>
        <v>0.007</v>
      </c>
      <c r="W19" s="79">
        <f>Fees_Settings!$E$4</f>
        <v>0.005</v>
      </c>
      <c r="X19" s="79">
        <f>Fees_Settings!$E$5</f>
        <v>0.015</v>
      </c>
      <c r="Y19" s="78" t="str">
        <f t="shared" si="21"/>
        <v>بهترین مسیر امروز برای رفع تعهد با منشأ ارز دلار سلیمانیه، «اظهارنامه با ارز از مسیر دوبی» است.
هزینه تمام‌شده این مسیر 0.50% معادل حدود 5,000 دلار است.
مشتری  بابت تبدیل دلار سلیمانیه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0.70% معادل حدود 7,000 دلار.
- اظهارنامه با ارز مستقیم استانبول: هزینه تمام‌شده  معادل حدود 0 دلار.
اختلاف بهترین مسیر با نزدیک‌ترین گزینه بعدی 0.20% معادل حدود 2,000 دلار است.</v>
      </c>
      <c r="Z19" s="61"/>
    </row>
    <row r="20" ht="30.0" customHeight="1">
      <c r="A20" s="77">
        <f t="shared" si="14"/>
        <v>-180686</v>
      </c>
      <c r="B20" s="78" t="str">
        <f t="shared" ref="B20:C20" si="26">A9</f>
        <v>USD_Tether</v>
      </c>
      <c r="C20" s="78" t="str">
        <f t="shared" si="26"/>
        <v>دلار تتر</v>
      </c>
      <c r="D20" s="78" t="str">
        <f t="shared" ref="D20:E20" si="27">J9</f>
        <v>اظهارنامه با ارز از مسیر دوبی</v>
      </c>
      <c r="E20" s="79">
        <f t="shared" si="27"/>
        <v>0.005</v>
      </c>
      <c r="F20" s="80">
        <f t="shared" si="17"/>
        <v>5000</v>
      </c>
      <c r="G20" s="79">
        <f t="shared" si="18"/>
        <v>0.00272851296</v>
      </c>
      <c r="H20" s="79">
        <f t="shared" ref="H20:I20" si="28">E9</f>
        <v>0.00972851296</v>
      </c>
      <c r="I20" s="79" t="str">
        <f t="shared" si="28"/>
        <v/>
      </c>
      <c r="J20" s="79">
        <f t="shared" ref="J20:K20" si="29">H9</f>
        <v>0.005</v>
      </c>
      <c r="K20" s="79" t="str">
        <f t="shared" si="29"/>
        <v/>
      </c>
      <c r="L20" s="81">
        <f t="array" ref="L20">XLOOKUP("Tehran",Daily_Rates!$A:$A,Daily_Rates!$D:$D)</f>
        <v>3.665</v>
      </c>
      <c r="M20" s="81">
        <f t="array" ref="M20">XLOOKUP("Tehran",Daily_Rates!$A:$A,Daily_Rates!$E:$E)</f>
        <v>3.675</v>
      </c>
      <c r="N20" s="81" t="str">
        <f t="array" ref="N20">XLOOKUP("Dubai",Daily_Rates!$A:$A,Daily_Rates!$D:$D)</f>
        <v>-</v>
      </c>
      <c r="O20" s="81" t="str">
        <f t="array" ref="O20">XLOOKUP("Dubai",Daily_Rates!$A:$A,Daily_Rates!$E:$E)</f>
        <v>-</v>
      </c>
      <c r="P20" s="81">
        <f t="array" ref="P20">XLOOKUP("Istanbul",Daily_Rates!$A:$A,Daily_Rates!$D:$D)</f>
        <v>3.679</v>
      </c>
      <c r="Q20" s="81">
        <f t="array" ref="Q20">XLOOKUP("Istanbul",Daily_Rates!$A:$A,Daily_Rates!$E:$E)</f>
        <v>3.685</v>
      </c>
      <c r="R20" s="81" t="str">
        <f t="array" ref="R20">XLOOKUP("Sulaymaniyah",Daily_Rates!$A:$A,Daily_Rates!$D:$D)</f>
        <v>-</v>
      </c>
      <c r="S20" s="81" t="str">
        <f t="array" ref="S20">XLOOKUP("Sulaymaniyah",Daily_Rates!$A:$A,Daily_Rates!$E:$E)</f>
        <v>-</v>
      </c>
      <c r="T20" s="81">
        <f t="array" ref="T20">XLOOKUP("Tether",Daily_Rates!$A:$A,Daily_Rates!$D:$D)</f>
        <v>3.665</v>
      </c>
      <c r="U20" s="81">
        <f t="array" ref="U20">XLOOKUP("Tether",Daily_Rates!$A:$A,Daily_Rates!$E:$E)</f>
        <v>3.67</v>
      </c>
      <c r="V20" s="79">
        <f>Fees_Settings!$E$3</f>
        <v>0.007</v>
      </c>
      <c r="W20" s="79">
        <f>Fees_Settings!$E$4</f>
        <v>0.005</v>
      </c>
      <c r="X20" s="79">
        <f>Fees_Settings!$E$5</f>
        <v>0.015</v>
      </c>
      <c r="Y20" s="78" t="str">
        <f t="shared" si="21"/>
        <v>بهترین مسیر امروز برای رفع تعهد با منشأ ارز دلار تتر، «اظهارنامه با ارز از مسیر دوبی» است.
هزینه تمام‌شده این مسیر 0.50% معادل حدود 5,000 دلار است.
مشتری  بابت تبدیل دلار تتر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0.97% معادل حدود 9,729 دلار.
- اظهارنامه با ارز مستقیم استانبول: هزینه تمام‌شده  معادل حدود 0 دلار.
اختلاف بهترین مسیر با نزدیک‌ترین گزینه بعدی 0.47% معادل حدود 4,729 دلار است.</v>
      </c>
      <c r="Z20" s="61"/>
    </row>
    <row r="21" ht="30.0" customHeight="1">
      <c r="A21" s="77">
        <f t="shared" si="14"/>
        <v>-180686</v>
      </c>
      <c r="B21" s="78" t="str">
        <f t="shared" ref="B21:C21" si="30">A10</f>
        <v>AED_Dubai</v>
      </c>
      <c r="C21" s="78" t="str">
        <f t="shared" si="30"/>
        <v>درهم دوبی</v>
      </c>
      <c r="D21" s="78" t="str">
        <f t="shared" ref="D21:E21" si="31">J10</f>
        <v>اظهارنامه با ارز از مسیر دوبی</v>
      </c>
      <c r="E21" s="79">
        <f t="shared" si="31"/>
        <v>0.005</v>
      </c>
      <c r="F21" s="80">
        <f t="shared" si="17"/>
        <v>5000</v>
      </c>
      <c r="G21" s="79">
        <f t="shared" si="18"/>
        <v>0.00272851296</v>
      </c>
      <c r="H21" s="79">
        <f t="shared" ref="H21:I21" si="32">E10</f>
        <v>0.00972851296</v>
      </c>
      <c r="I21" s="79" t="str">
        <f t="shared" si="32"/>
        <v/>
      </c>
      <c r="J21" s="79">
        <f t="shared" ref="J21:K21" si="33">H10</f>
        <v>0.005</v>
      </c>
      <c r="K21" s="79" t="str">
        <f t="shared" si="33"/>
        <v/>
      </c>
      <c r="L21" s="81">
        <f t="array" ref="L21">XLOOKUP("Tehran",Daily_Rates!$A:$A,Daily_Rates!$D:$D)</f>
        <v>3.665</v>
      </c>
      <c r="M21" s="81">
        <f t="array" ref="M21">XLOOKUP("Tehran",Daily_Rates!$A:$A,Daily_Rates!$E:$E)</f>
        <v>3.675</v>
      </c>
      <c r="N21" s="81" t="str">
        <f t="array" ref="N21">XLOOKUP("Dubai",Daily_Rates!$A:$A,Daily_Rates!$D:$D)</f>
        <v>-</v>
      </c>
      <c r="O21" s="81" t="str">
        <f t="array" ref="O21">XLOOKUP("Dubai",Daily_Rates!$A:$A,Daily_Rates!$E:$E)</f>
        <v>-</v>
      </c>
      <c r="P21" s="81">
        <f t="array" ref="P21">XLOOKUP("Istanbul",Daily_Rates!$A:$A,Daily_Rates!$D:$D)</f>
        <v>3.679</v>
      </c>
      <c r="Q21" s="81">
        <f t="array" ref="Q21">XLOOKUP("Istanbul",Daily_Rates!$A:$A,Daily_Rates!$E:$E)</f>
        <v>3.685</v>
      </c>
      <c r="R21" s="81" t="str">
        <f t="array" ref="R21">XLOOKUP("Sulaymaniyah",Daily_Rates!$A:$A,Daily_Rates!$D:$D)</f>
        <v>-</v>
      </c>
      <c r="S21" s="81" t="str">
        <f t="array" ref="S21">XLOOKUP("Sulaymaniyah",Daily_Rates!$A:$A,Daily_Rates!$E:$E)</f>
        <v>-</v>
      </c>
      <c r="T21" s="81">
        <f t="array" ref="T21">XLOOKUP("Tether",Daily_Rates!$A:$A,Daily_Rates!$D:$D)</f>
        <v>3.665</v>
      </c>
      <c r="U21" s="81">
        <f t="array" ref="U21">XLOOKUP("Tether",Daily_Rates!$A:$A,Daily_Rates!$E:$E)</f>
        <v>3.67</v>
      </c>
      <c r="V21" s="79">
        <f>Fees_Settings!$E$3</f>
        <v>0.007</v>
      </c>
      <c r="W21" s="79">
        <f>Fees_Settings!$E$4</f>
        <v>0.005</v>
      </c>
      <c r="X21" s="79">
        <f>Fees_Settings!$E$5</f>
        <v>0.015</v>
      </c>
      <c r="Y21" s="78" t="str">
        <f t="shared" si="21"/>
        <v>بهترین مسیر امروز برای رفع تعهد با منشأ ارز درهم دوبی، «اظهارنامه با ارز از مسیر دوبی» است.
هزینه تمام‌شده این مسیر 0.50% معادل حدود 5,000 دلار است.
مشتری  بابت تبدیل درهم دوبی به دلار دوبی هزینه می‌دهد و 0.50% هزینه انتقال / ورود ارز از مسیر دوبی پرداخت می‌کند؛ بنابراین هزینه نهایی 0.50% می‌شود.
گزینه‌های بعدی به ترتیب هزینه:
- اظهارنامه بدون ارز: هزینه تمام‌شده 0.97% معادل حدود 9,729 دلار.
- اظهارنامه با ارز مستقیم استانبول: هزینه تمام‌شده  معادل حدود 0 دلار.
اختلاف بهترین مسیر با نزدیک‌ترین گزینه بعدی 0.47% معادل حدود 4,729 دلار است.</v>
      </c>
      <c r="Z21" s="61"/>
    </row>
    <row r="22" ht="30.0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30.0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30.0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30.0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30.0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30.0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30.0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30.0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30.0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30.0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30.0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30.0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30.0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30.0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30.0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30.0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30.0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30.0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30.0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30.0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30.0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30.0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30.0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30.0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30.0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30.0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30.0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30.0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30.0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30.0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30.0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30.0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30.0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30.0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30.0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30.0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30.0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30.0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30.0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30.0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30.0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30.0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30.0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30.0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30.0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30.0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30.0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30.0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30.0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30.0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30.0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30.0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30.0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30.0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30.0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30.0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30.0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30.0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30.0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30.0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30.0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30.0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30.0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30.0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30.0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30.0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30.0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30.0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30.0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30.0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30.0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30.0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30.0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30.0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30.0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30.0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30.0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30.0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30.0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30.0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30.0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30.0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30.0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30.0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30.0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30.0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30.0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30.0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30.0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30.0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30.0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30.0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30.0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30.0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30.0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30.0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30.0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30.0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30.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30.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30.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30.0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30.0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30.0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30.0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30.0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30.0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30.0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30.0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30.0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30.0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30.0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30.0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30.0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30.0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30.0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30.0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30.0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30.0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30.0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30.0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30.0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30.0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30.0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30.0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30.0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30.0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30.0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30.0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30.0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30.0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30.0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30.0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30.0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30.0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30.0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30.0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30.0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30.0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30.0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30.0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30.0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30.0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30.0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30.0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30.0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30.0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30.0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30.0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30.0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30.0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30.0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30.0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30.0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30.0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30.0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30.0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30.0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30.0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30.0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30.0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30.0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30.0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30.0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30.0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30.0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30.0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30.0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30.0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30.0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30.0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30.0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30.0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30.0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30.0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30.0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30.0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30.0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30.0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30.0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30.0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30.0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30.0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30.0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30.0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30.0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30.0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30.0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30.0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30.0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30.0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30.0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30.0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30.0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30.0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30.0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30.0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30.0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30.0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30.0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Q1"/>
    <mergeCell ref="A12:Q12"/>
    <mergeCell ref="A13:Q13"/>
    <mergeCell ref="A15:Y15"/>
  </mergeCells>
  <conditionalFormatting sqref="K6:K10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2.0"/>
    <col customWidth="1" min="3" max="3" width="12.13"/>
    <col customWidth="1" min="4" max="4" width="11.25"/>
    <col customWidth="1" min="5" max="5" width="11.88"/>
    <col customWidth="1" min="6" max="6" width="16.63"/>
    <col customWidth="1" min="7" max="7" width="14.0"/>
    <col customWidth="1" min="8" max="9" width="13.5"/>
    <col customWidth="1" min="10" max="10" width="13.38"/>
    <col customWidth="1" min="11" max="11" width="15.88"/>
    <col customWidth="1" min="12" max="12" width="13.0"/>
    <col customWidth="1" min="13" max="13" width="11.38"/>
    <col customWidth="1" min="14" max="14" width="10.88"/>
    <col customWidth="1" min="15" max="15" width="10.63"/>
    <col customWidth="1" min="16" max="16" width="13.0"/>
    <col customWidth="1" min="17" max="17" width="12.25"/>
    <col customWidth="1" min="18" max="18" width="13.0"/>
    <col customWidth="1" min="19" max="19" width="16.75"/>
    <col customWidth="1" min="20" max="20" width="13.0"/>
    <col customWidth="1" min="21" max="21" width="11.0"/>
    <col customWidth="1" min="22" max="22" width="12.5"/>
    <col customWidth="1" min="23" max="23" width="13.0"/>
    <col customWidth="1" min="24" max="24" width="19.0"/>
    <col customWidth="1" min="25" max="25" width="104.88"/>
    <col customWidth="1" min="26" max="26" width="33.13"/>
  </cols>
  <sheetData>
    <row r="1" ht="58.5" customHeight="1">
      <c r="A1" s="82" t="s">
        <v>141</v>
      </c>
      <c r="Z1" s="61"/>
    </row>
    <row r="2" ht="30.0" customHeight="1">
      <c r="A2" s="83" t="s">
        <v>142</v>
      </c>
      <c r="Z2" s="61"/>
    </row>
    <row r="3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61"/>
    </row>
    <row r="4" ht="37.5" customHeight="1">
      <c r="A4" s="84" t="s">
        <v>3</v>
      </c>
      <c r="B4" s="84" t="s">
        <v>22</v>
      </c>
      <c r="C4" s="84" t="s">
        <v>23</v>
      </c>
      <c r="D4" s="84" t="s">
        <v>4</v>
      </c>
      <c r="E4" s="84" t="s">
        <v>7</v>
      </c>
      <c r="F4" s="84" t="s">
        <v>10</v>
      </c>
      <c r="G4" s="84" t="s">
        <v>118</v>
      </c>
      <c r="H4" s="84" t="s">
        <v>119</v>
      </c>
      <c r="I4" s="84" t="s">
        <v>120</v>
      </c>
      <c r="J4" s="84" t="s">
        <v>122</v>
      </c>
      <c r="K4" s="84" t="s">
        <v>123</v>
      </c>
      <c r="L4" s="84" t="s">
        <v>131</v>
      </c>
      <c r="M4" s="84" t="s">
        <v>132</v>
      </c>
      <c r="N4" s="84" t="s">
        <v>133</v>
      </c>
      <c r="O4" s="84" t="s">
        <v>134</v>
      </c>
      <c r="P4" s="84" t="s">
        <v>135</v>
      </c>
      <c r="Q4" s="84" t="s">
        <v>136</v>
      </c>
      <c r="R4" s="84" t="s">
        <v>137</v>
      </c>
      <c r="S4" s="84" t="s">
        <v>138</v>
      </c>
      <c r="T4" s="84" t="s">
        <v>139</v>
      </c>
      <c r="U4" s="84" t="s">
        <v>140</v>
      </c>
      <c r="V4" s="84" t="s">
        <v>11</v>
      </c>
      <c r="W4" s="84" t="s">
        <v>13</v>
      </c>
      <c r="X4" s="84" t="s">
        <v>15</v>
      </c>
      <c r="Y4" s="84" t="s">
        <v>16</v>
      </c>
      <c r="Z4" s="61"/>
    </row>
    <row r="5" ht="51.0" customHeight="1">
      <c r="A5" s="85" t="s">
        <v>143</v>
      </c>
      <c r="B5" s="86" t="s">
        <v>44</v>
      </c>
      <c r="C5" s="86" t="s">
        <v>45</v>
      </c>
      <c r="D5" s="86" t="s">
        <v>72</v>
      </c>
      <c r="E5" s="87">
        <v>0.007</v>
      </c>
      <c r="F5" s="88">
        <v>7000.0</v>
      </c>
      <c r="G5" s="87">
        <v>0.0</v>
      </c>
      <c r="H5" s="87">
        <v>0.007</v>
      </c>
      <c r="I5" s="87">
        <v>0.007650273224043722</v>
      </c>
      <c r="J5" s="87">
        <v>0.012650273224043721</v>
      </c>
      <c r="K5" s="87" t="s">
        <v>144</v>
      </c>
      <c r="L5" s="89">
        <v>3.66</v>
      </c>
      <c r="M5" s="89">
        <v>3.67</v>
      </c>
      <c r="N5" s="89">
        <v>3.67</v>
      </c>
      <c r="O5" s="89">
        <v>3.688</v>
      </c>
      <c r="P5" s="89">
        <v>3.677</v>
      </c>
      <c r="Q5" s="89">
        <v>3.683</v>
      </c>
      <c r="R5" s="89">
        <v>3.686</v>
      </c>
      <c r="S5" s="89">
        <v>3.694</v>
      </c>
      <c r="T5" s="89">
        <v>3.67</v>
      </c>
      <c r="U5" s="89">
        <v>3.677</v>
      </c>
      <c r="V5" s="87">
        <v>0.007</v>
      </c>
      <c r="W5" s="87">
        <v>0.005</v>
      </c>
      <c r="X5" s="87">
        <v>0.015</v>
      </c>
      <c r="Y5" s="86" t="s">
        <v>145</v>
      </c>
      <c r="Z5" s="61"/>
    </row>
    <row r="6" ht="51.0" customHeight="1">
      <c r="A6" s="85" t="s">
        <v>143</v>
      </c>
      <c r="B6" s="86" t="s">
        <v>9</v>
      </c>
      <c r="C6" s="86" t="s">
        <v>47</v>
      </c>
      <c r="D6" s="86" t="s">
        <v>72</v>
      </c>
      <c r="E6" s="87">
        <v>0.005096274136524309</v>
      </c>
      <c r="F6" s="88">
        <v>5096.274136524309</v>
      </c>
      <c r="G6" s="87">
        <v>-0.0019037258634756913</v>
      </c>
      <c r="H6" s="87">
        <v>0.005096274136524309</v>
      </c>
      <c r="I6" s="87">
        <v>0.002991569214033212</v>
      </c>
      <c r="J6" s="87">
        <v>0.007991569214033212</v>
      </c>
      <c r="K6" s="87">
        <v>0.015</v>
      </c>
      <c r="L6" s="89">
        <v>3.66</v>
      </c>
      <c r="M6" s="89">
        <v>3.67</v>
      </c>
      <c r="N6" s="89">
        <v>3.67</v>
      </c>
      <c r="O6" s="89">
        <v>3.688</v>
      </c>
      <c r="P6" s="89">
        <v>3.677</v>
      </c>
      <c r="Q6" s="89">
        <v>3.683</v>
      </c>
      <c r="R6" s="89">
        <v>3.686</v>
      </c>
      <c r="S6" s="89">
        <v>3.694</v>
      </c>
      <c r="T6" s="89">
        <v>3.67</v>
      </c>
      <c r="U6" s="89">
        <v>3.677</v>
      </c>
      <c r="V6" s="87">
        <v>0.007</v>
      </c>
      <c r="W6" s="87">
        <v>0.005</v>
      </c>
      <c r="X6" s="87">
        <v>0.015</v>
      </c>
      <c r="Y6" s="86" t="s">
        <v>146</v>
      </c>
      <c r="Z6" s="61"/>
    </row>
    <row r="7" ht="51.0" customHeight="1">
      <c r="A7" s="85" t="s">
        <v>143</v>
      </c>
      <c r="B7" s="86" t="s">
        <v>49</v>
      </c>
      <c r="C7" s="86" t="s">
        <v>50</v>
      </c>
      <c r="D7" s="86" t="s">
        <v>72</v>
      </c>
      <c r="E7" s="87">
        <v>0.0026592512208355908</v>
      </c>
      <c r="F7" s="88">
        <v>2659.2512208355906</v>
      </c>
      <c r="G7" s="87">
        <v>-0.004340748779164409</v>
      </c>
      <c r="H7" s="87">
        <v>0.0026592512208355908</v>
      </c>
      <c r="I7" s="87">
        <v>5.425935973956115E-4</v>
      </c>
      <c r="J7" s="87">
        <v>0.0055425935973956115</v>
      </c>
      <c r="K7" s="87" t="s">
        <v>144</v>
      </c>
      <c r="L7" s="89">
        <v>3.66</v>
      </c>
      <c r="M7" s="89">
        <v>3.67</v>
      </c>
      <c r="N7" s="89">
        <v>3.67</v>
      </c>
      <c r="O7" s="89">
        <v>3.688</v>
      </c>
      <c r="P7" s="89">
        <v>3.677</v>
      </c>
      <c r="Q7" s="89">
        <v>3.683</v>
      </c>
      <c r="R7" s="89">
        <v>3.686</v>
      </c>
      <c r="S7" s="89">
        <v>3.694</v>
      </c>
      <c r="T7" s="89">
        <v>3.67</v>
      </c>
      <c r="U7" s="89">
        <v>3.677</v>
      </c>
      <c r="V7" s="87">
        <v>0.007</v>
      </c>
      <c r="W7" s="87">
        <v>0.005</v>
      </c>
      <c r="X7" s="87">
        <v>0.015</v>
      </c>
      <c r="Y7" s="86" t="s">
        <v>147</v>
      </c>
      <c r="Z7" s="61"/>
    </row>
    <row r="8" ht="51.0" customHeight="1">
      <c r="A8" s="85" t="s">
        <v>143</v>
      </c>
      <c r="B8" s="86" t="s">
        <v>41</v>
      </c>
      <c r="C8" s="86" t="s">
        <v>42</v>
      </c>
      <c r="D8" s="86" t="s">
        <v>72</v>
      </c>
      <c r="E8" s="87">
        <v>0.007</v>
      </c>
      <c r="F8" s="88">
        <v>7000.0</v>
      </c>
      <c r="G8" s="87">
        <v>0.0</v>
      </c>
      <c r="H8" s="87">
        <v>0.007</v>
      </c>
      <c r="I8" s="87">
        <v>0.0049046321525886205</v>
      </c>
      <c r="J8" s="87">
        <v>0.00990463215258862</v>
      </c>
      <c r="K8" s="87" t="s">
        <v>144</v>
      </c>
      <c r="L8" s="89">
        <v>3.66</v>
      </c>
      <c r="M8" s="89">
        <v>3.67</v>
      </c>
      <c r="N8" s="89">
        <v>3.67</v>
      </c>
      <c r="O8" s="89">
        <v>3.688</v>
      </c>
      <c r="P8" s="89">
        <v>3.677</v>
      </c>
      <c r="Q8" s="89">
        <v>3.683</v>
      </c>
      <c r="R8" s="89">
        <v>3.686</v>
      </c>
      <c r="S8" s="89">
        <v>3.694</v>
      </c>
      <c r="T8" s="89">
        <v>3.67</v>
      </c>
      <c r="U8" s="89">
        <v>3.677</v>
      </c>
      <c r="V8" s="87">
        <v>0.007</v>
      </c>
      <c r="W8" s="87">
        <v>0.005</v>
      </c>
      <c r="X8" s="87">
        <v>0.015</v>
      </c>
      <c r="Y8" s="86" t="s">
        <v>148</v>
      </c>
      <c r="Z8" s="61"/>
    </row>
    <row r="9" ht="51.0" customHeight="1">
      <c r="A9" s="85" t="s">
        <v>143</v>
      </c>
      <c r="B9" s="86" t="s">
        <v>52</v>
      </c>
      <c r="C9" s="86" t="s">
        <v>53</v>
      </c>
      <c r="D9" s="86" t="s">
        <v>72</v>
      </c>
      <c r="E9" s="87">
        <v>0.009732240437158412</v>
      </c>
      <c r="F9" s="88">
        <v>9732.24043715841</v>
      </c>
      <c r="G9" s="87">
        <v>0.0027322404371584114</v>
      </c>
      <c r="H9" s="87">
        <v>0.009732240437158412</v>
      </c>
      <c r="I9" s="87">
        <v>0.0049046321525886205</v>
      </c>
      <c r="J9" s="87">
        <v>0.00990463215258862</v>
      </c>
      <c r="K9" s="87" t="s">
        <v>144</v>
      </c>
      <c r="L9" s="89">
        <v>3.66</v>
      </c>
      <c r="M9" s="89">
        <v>3.67</v>
      </c>
      <c r="N9" s="89">
        <v>3.67</v>
      </c>
      <c r="O9" s="89">
        <v>3.688</v>
      </c>
      <c r="P9" s="89">
        <v>3.677</v>
      </c>
      <c r="Q9" s="89">
        <v>3.683</v>
      </c>
      <c r="R9" s="89">
        <v>3.686</v>
      </c>
      <c r="S9" s="89">
        <v>3.694</v>
      </c>
      <c r="T9" s="89">
        <v>3.67</v>
      </c>
      <c r="U9" s="89">
        <v>3.677</v>
      </c>
      <c r="V9" s="87">
        <v>0.007</v>
      </c>
      <c r="W9" s="87">
        <v>0.005</v>
      </c>
      <c r="X9" s="87">
        <v>0.015</v>
      </c>
      <c r="Y9" s="86" t="s">
        <v>149</v>
      </c>
      <c r="Z9" s="61"/>
    </row>
    <row r="10" ht="51.0" customHeight="1">
      <c r="A10" s="85" t="s">
        <v>150</v>
      </c>
      <c r="B10" s="86" t="s">
        <v>44</v>
      </c>
      <c r="C10" s="86" t="s">
        <v>45</v>
      </c>
      <c r="D10" s="86" t="s">
        <v>72</v>
      </c>
      <c r="E10" s="87">
        <v>0.007</v>
      </c>
      <c r="F10" s="88">
        <v>7000.0</v>
      </c>
      <c r="G10" s="87">
        <v>0.0</v>
      </c>
      <c r="H10" s="87">
        <v>0.007</v>
      </c>
      <c r="I10" s="87">
        <v>0.007650273224043722</v>
      </c>
      <c r="J10" s="87">
        <v>0.012650273224043721</v>
      </c>
      <c r="K10" s="87" t="s">
        <v>144</v>
      </c>
      <c r="L10" s="89">
        <v>3.66</v>
      </c>
      <c r="M10" s="89">
        <v>3.67</v>
      </c>
      <c r="N10" s="89">
        <v>3.67</v>
      </c>
      <c r="O10" s="89">
        <v>3.688</v>
      </c>
      <c r="P10" s="89">
        <v>3.677</v>
      </c>
      <c r="Q10" s="89">
        <v>3.683</v>
      </c>
      <c r="R10" s="89">
        <v>3.686</v>
      </c>
      <c r="S10" s="89">
        <v>3.694</v>
      </c>
      <c r="T10" s="89">
        <v>3.67</v>
      </c>
      <c r="U10" s="89">
        <v>3.677</v>
      </c>
      <c r="V10" s="87">
        <v>0.007</v>
      </c>
      <c r="W10" s="87">
        <v>0.005</v>
      </c>
      <c r="X10" s="87">
        <v>0.015</v>
      </c>
      <c r="Y10" s="86" t="s">
        <v>145</v>
      </c>
      <c r="Z10" s="61"/>
    </row>
    <row r="11" ht="51.0" customHeight="1">
      <c r="A11" s="85" t="s">
        <v>150</v>
      </c>
      <c r="B11" s="86" t="s">
        <v>9</v>
      </c>
      <c r="C11" s="86" t="s">
        <v>47</v>
      </c>
      <c r="D11" s="86" t="s">
        <v>72</v>
      </c>
      <c r="E11" s="87">
        <v>0.005096274136524309</v>
      </c>
      <c r="F11" s="88">
        <v>5096.274136524309</v>
      </c>
      <c r="G11" s="87">
        <v>-0.0019037258634756913</v>
      </c>
      <c r="H11" s="87">
        <v>0.005096274136524309</v>
      </c>
      <c r="I11" s="87">
        <v>0.002991569214033212</v>
      </c>
      <c r="J11" s="87">
        <v>0.007991569214033212</v>
      </c>
      <c r="K11" s="87">
        <v>0.015</v>
      </c>
      <c r="L11" s="89">
        <v>3.66</v>
      </c>
      <c r="M11" s="89">
        <v>3.67</v>
      </c>
      <c r="N11" s="89">
        <v>3.67</v>
      </c>
      <c r="O11" s="89">
        <v>3.688</v>
      </c>
      <c r="P11" s="89">
        <v>3.677</v>
      </c>
      <c r="Q11" s="89">
        <v>3.683</v>
      </c>
      <c r="R11" s="89">
        <v>3.686</v>
      </c>
      <c r="S11" s="89">
        <v>3.694</v>
      </c>
      <c r="T11" s="89">
        <v>3.67</v>
      </c>
      <c r="U11" s="89">
        <v>3.677</v>
      </c>
      <c r="V11" s="87">
        <v>0.007</v>
      </c>
      <c r="W11" s="87">
        <v>0.005</v>
      </c>
      <c r="X11" s="87">
        <v>0.015</v>
      </c>
      <c r="Y11" s="86" t="s">
        <v>146</v>
      </c>
      <c r="Z11" s="61"/>
    </row>
    <row r="12" ht="51.0" customHeight="1">
      <c r="A12" s="85" t="s">
        <v>150</v>
      </c>
      <c r="B12" s="86" t="s">
        <v>49</v>
      </c>
      <c r="C12" s="86" t="s">
        <v>50</v>
      </c>
      <c r="D12" s="86" t="s">
        <v>72</v>
      </c>
      <c r="E12" s="87">
        <v>0.0026592512208355908</v>
      </c>
      <c r="F12" s="88">
        <v>2659.2512208355906</v>
      </c>
      <c r="G12" s="87">
        <v>-0.004340748779164409</v>
      </c>
      <c r="H12" s="87">
        <v>0.0026592512208355908</v>
      </c>
      <c r="I12" s="87">
        <v>5.425935973956115E-4</v>
      </c>
      <c r="J12" s="87">
        <v>0.0055425935973956115</v>
      </c>
      <c r="K12" s="87" t="s">
        <v>144</v>
      </c>
      <c r="L12" s="89">
        <v>3.66</v>
      </c>
      <c r="M12" s="89">
        <v>3.67</v>
      </c>
      <c r="N12" s="89">
        <v>3.67</v>
      </c>
      <c r="O12" s="89">
        <v>3.688</v>
      </c>
      <c r="P12" s="89">
        <v>3.677</v>
      </c>
      <c r="Q12" s="89">
        <v>3.683</v>
      </c>
      <c r="R12" s="89">
        <v>3.686</v>
      </c>
      <c r="S12" s="89">
        <v>3.694</v>
      </c>
      <c r="T12" s="89">
        <v>3.67</v>
      </c>
      <c r="U12" s="89">
        <v>3.677</v>
      </c>
      <c r="V12" s="87">
        <v>0.007</v>
      </c>
      <c r="W12" s="87">
        <v>0.005</v>
      </c>
      <c r="X12" s="87">
        <v>0.015</v>
      </c>
      <c r="Y12" s="86" t="s">
        <v>147</v>
      </c>
      <c r="Z12" s="61"/>
    </row>
    <row r="13" ht="51.0" customHeight="1">
      <c r="A13" s="85" t="s">
        <v>150</v>
      </c>
      <c r="B13" s="86" t="s">
        <v>41</v>
      </c>
      <c r="C13" s="86" t="s">
        <v>42</v>
      </c>
      <c r="D13" s="86" t="s">
        <v>72</v>
      </c>
      <c r="E13" s="87">
        <v>0.007</v>
      </c>
      <c r="F13" s="88">
        <v>7000.0</v>
      </c>
      <c r="G13" s="87">
        <v>0.0</v>
      </c>
      <c r="H13" s="87">
        <v>0.007</v>
      </c>
      <c r="I13" s="87">
        <v>0.0049046321525886205</v>
      </c>
      <c r="J13" s="87">
        <v>0.00990463215258862</v>
      </c>
      <c r="K13" s="87" t="s">
        <v>144</v>
      </c>
      <c r="L13" s="89">
        <v>3.66</v>
      </c>
      <c r="M13" s="89">
        <v>3.67</v>
      </c>
      <c r="N13" s="89">
        <v>3.67</v>
      </c>
      <c r="O13" s="89">
        <v>3.688</v>
      </c>
      <c r="P13" s="89">
        <v>3.677</v>
      </c>
      <c r="Q13" s="89">
        <v>3.683</v>
      </c>
      <c r="R13" s="89">
        <v>3.686</v>
      </c>
      <c r="S13" s="89">
        <v>3.694</v>
      </c>
      <c r="T13" s="89">
        <v>3.67</v>
      </c>
      <c r="U13" s="89">
        <v>3.677</v>
      </c>
      <c r="V13" s="87">
        <v>0.007</v>
      </c>
      <c r="W13" s="87">
        <v>0.005</v>
      </c>
      <c r="X13" s="87">
        <v>0.015</v>
      </c>
      <c r="Y13" s="86" t="s">
        <v>148</v>
      </c>
      <c r="Z13" s="61"/>
    </row>
    <row r="14" ht="51.0" customHeight="1">
      <c r="A14" s="85" t="s">
        <v>150</v>
      </c>
      <c r="B14" s="86" t="s">
        <v>52</v>
      </c>
      <c r="C14" s="86" t="s">
        <v>53</v>
      </c>
      <c r="D14" s="86" t="s">
        <v>72</v>
      </c>
      <c r="E14" s="87">
        <v>0.009732240437158412</v>
      </c>
      <c r="F14" s="88">
        <v>9732.24043715841</v>
      </c>
      <c r="G14" s="87">
        <v>0.0027322404371584114</v>
      </c>
      <c r="H14" s="87">
        <v>0.009732240437158412</v>
      </c>
      <c r="I14" s="87">
        <v>0.0049046321525886205</v>
      </c>
      <c r="J14" s="87">
        <v>0.00990463215258862</v>
      </c>
      <c r="K14" s="87" t="s">
        <v>144</v>
      </c>
      <c r="L14" s="89">
        <v>3.66</v>
      </c>
      <c r="M14" s="89">
        <v>3.67</v>
      </c>
      <c r="N14" s="89">
        <v>3.67</v>
      </c>
      <c r="O14" s="89">
        <v>3.688</v>
      </c>
      <c r="P14" s="89">
        <v>3.677</v>
      </c>
      <c r="Q14" s="89">
        <v>3.683</v>
      </c>
      <c r="R14" s="89">
        <v>3.686</v>
      </c>
      <c r="S14" s="89">
        <v>3.694</v>
      </c>
      <c r="T14" s="89">
        <v>3.67</v>
      </c>
      <c r="U14" s="89">
        <v>3.677</v>
      </c>
      <c r="V14" s="87">
        <v>0.007</v>
      </c>
      <c r="W14" s="87">
        <v>0.005</v>
      </c>
      <c r="X14" s="87">
        <v>0.015</v>
      </c>
      <c r="Y14" s="86" t="s">
        <v>149</v>
      </c>
      <c r="Z14" s="61"/>
    </row>
    <row r="15" ht="37.5" customHeight="1">
      <c r="A15" s="90"/>
      <c r="B15" s="86"/>
      <c r="C15" s="86"/>
      <c r="D15" s="86"/>
      <c r="E15" s="87"/>
      <c r="F15" s="88"/>
      <c r="G15" s="87"/>
      <c r="H15" s="87"/>
      <c r="I15" s="87"/>
      <c r="J15" s="87"/>
      <c r="K15" s="87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7"/>
      <c r="W15" s="87"/>
      <c r="X15" s="87"/>
      <c r="Y15" s="86"/>
      <c r="Z15" s="61"/>
    </row>
    <row r="16" ht="37.5" customHeight="1">
      <c r="A16" s="90"/>
      <c r="B16" s="86"/>
      <c r="C16" s="86"/>
      <c r="D16" s="86"/>
      <c r="E16" s="87"/>
      <c r="F16" s="88"/>
      <c r="G16" s="87"/>
      <c r="H16" s="87"/>
      <c r="I16" s="87"/>
      <c r="J16" s="87"/>
      <c r="K16" s="87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7"/>
      <c r="W16" s="87"/>
      <c r="X16" s="87"/>
      <c r="Y16" s="86"/>
      <c r="Z16" s="61"/>
    </row>
    <row r="17" ht="37.5" customHeight="1">
      <c r="A17" s="90"/>
      <c r="B17" s="86"/>
      <c r="C17" s="86"/>
      <c r="D17" s="86"/>
      <c r="E17" s="87"/>
      <c r="F17" s="88"/>
      <c r="G17" s="87"/>
      <c r="H17" s="87"/>
      <c r="I17" s="87"/>
      <c r="J17" s="87"/>
      <c r="K17" s="87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7"/>
      <c r="W17" s="87"/>
      <c r="X17" s="87"/>
      <c r="Y17" s="86"/>
      <c r="Z17" s="61"/>
    </row>
    <row r="18" ht="37.5" customHeight="1">
      <c r="A18" s="90"/>
      <c r="B18" s="86"/>
      <c r="C18" s="86"/>
      <c r="D18" s="86"/>
      <c r="E18" s="87"/>
      <c r="F18" s="88"/>
      <c r="G18" s="87"/>
      <c r="H18" s="87"/>
      <c r="I18" s="87"/>
      <c r="J18" s="87"/>
      <c r="K18" s="87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7"/>
      <c r="W18" s="87"/>
      <c r="X18" s="87"/>
      <c r="Y18" s="86"/>
      <c r="Z18" s="61"/>
    </row>
    <row r="19" ht="37.5" customHeight="1">
      <c r="A19" s="90"/>
      <c r="B19" s="86"/>
      <c r="C19" s="86"/>
      <c r="D19" s="86"/>
      <c r="E19" s="87"/>
      <c r="F19" s="88"/>
      <c r="G19" s="87"/>
      <c r="H19" s="87"/>
      <c r="I19" s="87"/>
      <c r="J19" s="87"/>
      <c r="K19" s="87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7"/>
      <c r="W19" s="87"/>
      <c r="X19" s="87"/>
      <c r="Y19" s="86"/>
      <c r="Z19" s="61"/>
    </row>
    <row r="20" ht="37.5" customHeight="1">
      <c r="A20" s="90"/>
      <c r="B20" s="86"/>
      <c r="C20" s="86"/>
      <c r="D20" s="86"/>
      <c r="E20" s="87"/>
      <c r="F20" s="88"/>
      <c r="G20" s="87"/>
      <c r="H20" s="87"/>
      <c r="I20" s="87"/>
      <c r="J20" s="87"/>
      <c r="K20" s="87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7"/>
      <c r="W20" s="87"/>
      <c r="X20" s="87"/>
      <c r="Y20" s="86"/>
      <c r="Z20" s="61"/>
    </row>
    <row r="21" ht="37.5" customHeight="1">
      <c r="A21" s="90"/>
      <c r="B21" s="86"/>
      <c r="C21" s="86"/>
      <c r="D21" s="86"/>
      <c r="E21" s="87"/>
      <c r="F21" s="88"/>
      <c r="G21" s="87"/>
      <c r="H21" s="87"/>
      <c r="I21" s="87"/>
      <c r="J21" s="87"/>
      <c r="K21" s="87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7"/>
      <c r="W21" s="87"/>
      <c r="X21" s="87"/>
      <c r="Y21" s="86"/>
      <c r="Z21" s="61"/>
    </row>
    <row r="22" ht="37.5" customHeight="1">
      <c r="A22" s="90"/>
      <c r="B22" s="86"/>
      <c r="C22" s="86"/>
      <c r="D22" s="86"/>
      <c r="E22" s="87"/>
      <c r="F22" s="88"/>
      <c r="G22" s="87"/>
      <c r="H22" s="87"/>
      <c r="I22" s="87"/>
      <c r="J22" s="87"/>
      <c r="K22" s="87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7"/>
      <c r="W22" s="87"/>
      <c r="X22" s="87"/>
      <c r="Y22" s="86"/>
      <c r="Z22" s="61"/>
    </row>
    <row r="23" ht="37.5" customHeight="1">
      <c r="A23" s="90"/>
      <c r="B23" s="86"/>
      <c r="C23" s="86"/>
      <c r="D23" s="86"/>
      <c r="E23" s="87"/>
      <c r="F23" s="88"/>
      <c r="G23" s="87"/>
      <c r="H23" s="87"/>
      <c r="I23" s="87"/>
      <c r="J23" s="87"/>
      <c r="K23" s="87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7"/>
      <c r="W23" s="87"/>
      <c r="X23" s="87"/>
      <c r="Y23" s="86"/>
      <c r="Z23" s="61"/>
    </row>
    <row r="24" ht="37.5" customHeight="1">
      <c r="A24" s="90"/>
      <c r="B24" s="86"/>
      <c r="C24" s="86"/>
      <c r="D24" s="86"/>
      <c r="E24" s="87"/>
      <c r="F24" s="88"/>
      <c r="G24" s="87"/>
      <c r="H24" s="87"/>
      <c r="I24" s="87"/>
      <c r="J24" s="87"/>
      <c r="K24" s="87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7"/>
      <c r="W24" s="87"/>
      <c r="X24" s="87"/>
      <c r="Y24" s="86"/>
      <c r="Z24" s="61"/>
    </row>
    <row r="25" ht="37.5" customHeight="1">
      <c r="A25" s="90"/>
      <c r="B25" s="86"/>
      <c r="C25" s="86"/>
      <c r="D25" s="86"/>
      <c r="E25" s="87"/>
      <c r="F25" s="88"/>
      <c r="G25" s="87"/>
      <c r="H25" s="87"/>
      <c r="I25" s="87"/>
      <c r="J25" s="87"/>
      <c r="K25" s="87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7"/>
      <c r="W25" s="87"/>
      <c r="X25" s="87"/>
      <c r="Y25" s="86"/>
      <c r="Z25" s="61"/>
    </row>
    <row r="26" ht="37.5" customHeight="1">
      <c r="A26" s="90"/>
      <c r="B26" s="86"/>
      <c r="C26" s="86"/>
      <c r="D26" s="86"/>
      <c r="E26" s="87"/>
      <c r="F26" s="88"/>
      <c r="G26" s="87"/>
      <c r="H26" s="87"/>
      <c r="I26" s="87"/>
      <c r="J26" s="87"/>
      <c r="K26" s="87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7"/>
      <c r="W26" s="87"/>
      <c r="X26" s="87"/>
      <c r="Y26" s="86"/>
      <c r="Z26" s="61"/>
    </row>
    <row r="27" ht="37.5" customHeight="1">
      <c r="A27" s="90"/>
      <c r="B27" s="86"/>
      <c r="C27" s="86"/>
      <c r="D27" s="86"/>
      <c r="E27" s="87"/>
      <c r="F27" s="88"/>
      <c r="G27" s="87"/>
      <c r="H27" s="87"/>
      <c r="I27" s="87"/>
      <c r="J27" s="87"/>
      <c r="K27" s="87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7"/>
      <c r="W27" s="87"/>
      <c r="X27" s="87"/>
      <c r="Y27" s="86"/>
      <c r="Z27" s="61"/>
    </row>
    <row r="28" ht="37.5" customHeight="1">
      <c r="A28" s="90"/>
      <c r="B28" s="86"/>
      <c r="C28" s="86"/>
      <c r="D28" s="86"/>
      <c r="E28" s="87"/>
      <c r="F28" s="88"/>
      <c r="G28" s="87"/>
      <c r="H28" s="87"/>
      <c r="I28" s="87"/>
      <c r="J28" s="87"/>
      <c r="K28" s="87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7"/>
      <c r="W28" s="87"/>
      <c r="X28" s="87"/>
      <c r="Y28" s="86"/>
      <c r="Z28" s="61"/>
    </row>
    <row r="29" ht="37.5" customHeight="1">
      <c r="A29" s="90"/>
      <c r="B29" s="86"/>
      <c r="C29" s="86"/>
      <c r="D29" s="86"/>
      <c r="E29" s="87"/>
      <c r="F29" s="88"/>
      <c r="G29" s="87"/>
      <c r="H29" s="87"/>
      <c r="I29" s="87"/>
      <c r="J29" s="87"/>
      <c r="K29" s="87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7"/>
      <c r="W29" s="87"/>
      <c r="X29" s="87"/>
      <c r="Y29" s="86"/>
      <c r="Z29" s="61"/>
    </row>
    <row r="30" ht="37.5" customHeight="1">
      <c r="A30" s="90"/>
      <c r="B30" s="86"/>
      <c r="C30" s="86"/>
      <c r="D30" s="86"/>
      <c r="E30" s="87"/>
      <c r="F30" s="88"/>
      <c r="G30" s="87"/>
      <c r="H30" s="87"/>
      <c r="I30" s="87"/>
      <c r="J30" s="87"/>
      <c r="K30" s="87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7"/>
      <c r="W30" s="87"/>
      <c r="X30" s="87"/>
      <c r="Y30" s="86"/>
      <c r="Z30" s="61"/>
    </row>
    <row r="31" ht="37.5" customHeight="1">
      <c r="A31" s="90"/>
      <c r="B31" s="86"/>
      <c r="C31" s="86"/>
      <c r="D31" s="86"/>
      <c r="E31" s="87"/>
      <c r="F31" s="88"/>
      <c r="G31" s="87"/>
      <c r="H31" s="87"/>
      <c r="I31" s="87"/>
      <c r="J31" s="87"/>
      <c r="K31" s="87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7"/>
      <c r="W31" s="87"/>
      <c r="X31" s="87"/>
      <c r="Y31" s="86"/>
      <c r="Z31" s="61"/>
    </row>
    <row r="32" ht="37.5" customHeight="1">
      <c r="A32" s="90"/>
      <c r="B32" s="86"/>
      <c r="C32" s="86"/>
      <c r="D32" s="86"/>
      <c r="E32" s="87"/>
      <c r="F32" s="88"/>
      <c r="G32" s="87"/>
      <c r="H32" s="87"/>
      <c r="I32" s="87"/>
      <c r="J32" s="87"/>
      <c r="K32" s="87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7"/>
      <c r="W32" s="87"/>
      <c r="X32" s="87"/>
      <c r="Y32" s="86"/>
      <c r="Z32" s="61"/>
    </row>
    <row r="33" ht="37.5" customHeight="1">
      <c r="A33" s="90"/>
      <c r="B33" s="86"/>
      <c r="C33" s="86"/>
      <c r="D33" s="86"/>
      <c r="E33" s="87"/>
      <c r="F33" s="88"/>
      <c r="G33" s="87"/>
      <c r="H33" s="87"/>
      <c r="I33" s="87"/>
      <c r="J33" s="87"/>
      <c r="K33" s="87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7"/>
      <c r="W33" s="87"/>
      <c r="X33" s="87"/>
      <c r="Y33" s="86"/>
      <c r="Z33" s="61"/>
    </row>
    <row r="34" ht="37.5" customHeight="1">
      <c r="A34" s="90"/>
      <c r="B34" s="86"/>
      <c r="C34" s="86"/>
      <c r="D34" s="86"/>
      <c r="E34" s="87"/>
      <c r="F34" s="88"/>
      <c r="G34" s="87"/>
      <c r="H34" s="87"/>
      <c r="I34" s="87"/>
      <c r="J34" s="87"/>
      <c r="K34" s="87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7"/>
      <c r="W34" s="87"/>
      <c r="X34" s="87"/>
      <c r="Y34" s="86"/>
      <c r="Z34" s="61"/>
    </row>
    <row r="35" ht="37.5" customHeight="1">
      <c r="A35" s="90"/>
      <c r="B35" s="86"/>
      <c r="C35" s="86"/>
      <c r="D35" s="86"/>
      <c r="E35" s="87"/>
      <c r="F35" s="88"/>
      <c r="G35" s="87"/>
      <c r="H35" s="87"/>
      <c r="I35" s="87"/>
      <c r="J35" s="87"/>
      <c r="K35" s="87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7"/>
      <c r="W35" s="87"/>
      <c r="X35" s="87"/>
      <c r="Y35" s="86"/>
      <c r="Z35" s="61"/>
    </row>
    <row r="36" ht="37.5" customHeight="1">
      <c r="A36" s="90"/>
      <c r="B36" s="86"/>
      <c r="C36" s="86"/>
      <c r="D36" s="86"/>
      <c r="E36" s="87"/>
      <c r="F36" s="88"/>
      <c r="G36" s="87"/>
      <c r="H36" s="87"/>
      <c r="I36" s="87"/>
      <c r="J36" s="87"/>
      <c r="K36" s="87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7"/>
      <c r="W36" s="87"/>
      <c r="X36" s="87"/>
      <c r="Y36" s="86"/>
      <c r="Z36" s="61"/>
    </row>
    <row r="37" ht="37.5" customHeight="1">
      <c r="A37" s="90"/>
      <c r="B37" s="86"/>
      <c r="C37" s="86"/>
      <c r="D37" s="86"/>
      <c r="E37" s="87"/>
      <c r="F37" s="88"/>
      <c r="G37" s="87"/>
      <c r="H37" s="87"/>
      <c r="I37" s="87"/>
      <c r="J37" s="87"/>
      <c r="K37" s="87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7"/>
      <c r="W37" s="87"/>
      <c r="X37" s="87"/>
      <c r="Y37" s="86"/>
      <c r="Z37" s="61"/>
    </row>
    <row r="38" ht="37.5" customHeight="1">
      <c r="A38" s="90"/>
      <c r="B38" s="86"/>
      <c r="C38" s="86"/>
      <c r="D38" s="86"/>
      <c r="E38" s="87"/>
      <c r="F38" s="88"/>
      <c r="G38" s="87"/>
      <c r="H38" s="87"/>
      <c r="I38" s="87"/>
      <c r="J38" s="87"/>
      <c r="K38" s="87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7"/>
      <c r="W38" s="87"/>
      <c r="X38" s="87"/>
      <c r="Y38" s="86"/>
      <c r="Z38" s="61"/>
    </row>
    <row r="39" ht="37.5" customHeight="1">
      <c r="A39" s="90"/>
      <c r="B39" s="86"/>
      <c r="C39" s="86"/>
      <c r="D39" s="86"/>
      <c r="E39" s="87"/>
      <c r="F39" s="88"/>
      <c r="G39" s="87"/>
      <c r="H39" s="87"/>
      <c r="I39" s="87"/>
      <c r="J39" s="87"/>
      <c r="K39" s="87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7"/>
      <c r="W39" s="87"/>
      <c r="X39" s="87"/>
      <c r="Y39" s="86"/>
      <c r="Z39" s="61"/>
    </row>
    <row r="40" ht="37.5" customHeight="1">
      <c r="A40" s="90"/>
      <c r="B40" s="86"/>
      <c r="C40" s="86"/>
      <c r="D40" s="86"/>
      <c r="E40" s="87"/>
      <c r="F40" s="88"/>
      <c r="G40" s="87"/>
      <c r="H40" s="87"/>
      <c r="I40" s="87"/>
      <c r="J40" s="87"/>
      <c r="K40" s="87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7"/>
      <c r="W40" s="87"/>
      <c r="X40" s="87"/>
      <c r="Y40" s="86"/>
      <c r="Z40" s="61"/>
    </row>
    <row r="41" ht="37.5" customHeight="1">
      <c r="A41" s="90"/>
      <c r="B41" s="86"/>
      <c r="C41" s="86"/>
      <c r="D41" s="86"/>
      <c r="E41" s="87"/>
      <c r="F41" s="88"/>
      <c r="G41" s="87"/>
      <c r="H41" s="87"/>
      <c r="I41" s="87"/>
      <c r="J41" s="87"/>
      <c r="K41" s="87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7"/>
      <c r="W41" s="87"/>
      <c r="X41" s="87"/>
      <c r="Y41" s="86"/>
      <c r="Z41" s="61"/>
    </row>
    <row r="42" ht="37.5" customHeight="1">
      <c r="A42" s="90"/>
      <c r="B42" s="86"/>
      <c r="C42" s="86"/>
      <c r="D42" s="86"/>
      <c r="E42" s="87"/>
      <c r="F42" s="88"/>
      <c r="G42" s="87"/>
      <c r="H42" s="87"/>
      <c r="I42" s="87"/>
      <c r="J42" s="87"/>
      <c r="K42" s="87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7"/>
      <c r="W42" s="87"/>
      <c r="X42" s="87"/>
      <c r="Y42" s="86"/>
      <c r="Z42" s="61"/>
    </row>
    <row r="43" ht="37.5" customHeight="1">
      <c r="A43" s="90"/>
      <c r="B43" s="86"/>
      <c r="C43" s="86"/>
      <c r="D43" s="86"/>
      <c r="E43" s="87"/>
      <c r="F43" s="88"/>
      <c r="G43" s="87"/>
      <c r="H43" s="87"/>
      <c r="I43" s="87"/>
      <c r="J43" s="87"/>
      <c r="K43" s="87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7"/>
      <c r="W43" s="87"/>
      <c r="X43" s="87"/>
      <c r="Y43" s="86"/>
      <c r="Z43" s="61"/>
    </row>
    <row r="44" ht="37.5" customHeight="1">
      <c r="A44" s="90"/>
      <c r="B44" s="86"/>
      <c r="C44" s="86"/>
      <c r="D44" s="86"/>
      <c r="E44" s="87"/>
      <c r="F44" s="88"/>
      <c r="G44" s="87"/>
      <c r="H44" s="87"/>
      <c r="I44" s="87"/>
      <c r="J44" s="87"/>
      <c r="K44" s="87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7"/>
      <c r="W44" s="87"/>
      <c r="X44" s="87"/>
      <c r="Y44" s="86"/>
      <c r="Z44" s="61"/>
    </row>
    <row r="45" ht="37.5" customHeight="1">
      <c r="A45" s="90"/>
      <c r="B45" s="86"/>
      <c r="C45" s="86"/>
      <c r="D45" s="86"/>
      <c r="E45" s="87"/>
      <c r="F45" s="88"/>
      <c r="G45" s="87"/>
      <c r="H45" s="87"/>
      <c r="I45" s="87"/>
      <c r="J45" s="87"/>
      <c r="K45" s="87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7"/>
      <c r="W45" s="87"/>
      <c r="X45" s="87"/>
      <c r="Y45" s="86"/>
      <c r="Z45" s="61"/>
    </row>
    <row r="46" ht="37.5" customHeight="1">
      <c r="A46" s="90"/>
      <c r="B46" s="86"/>
      <c r="C46" s="86"/>
      <c r="D46" s="86"/>
      <c r="E46" s="87"/>
      <c r="F46" s="88"/>
      <c r="G46" s="87"/>
      <c r="H46" s="87"/>
      <c r="I46" s="87"/>
      <c r="J46" s="87"/>
      <c r="K46" s="87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7"/>
      <c r="W46" s="87"/>
      <c r="X46" s="87"/>
      <c r="Y46" s="86"/>
      <c r="Z46" s="61"/>
    </row>
    <row r="47" ht="37.5" customHeight="1">
      <c r="A47" s="90"/>
      <c r="B47" s="86"/>
      <c r="C47" s="86"/>
      <c r="D47" s="86"/>
      <c r="E47" s="87"/>
      <c r="F47" s="88"/>
      <c r="G47" s="87"/>
      <c r="H47" s="87"/>
      <c r="I47" s="87"/>
      <c r="J47" s="87"/>
      <c r="K47" s="87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7"/>
      <c r="W47" s="87"/>
      <c r="X47" s="87"/>
      <c r="Y47" s="86"/>
      <c r="Z47" s="61"/>
    </row>
    <row r="48" ht="37.5" customHeight="1">
      <c r="A48" s="90"/>
      <c r="B48" s="86"/>
      <c r="C48" s="86"/>
      <c r="D48" s="86"/>
      <c r="E48" s="87"/>
      <c r="F48" s="88"/>
      <c r="G48" s="87"/>
      <c r="H48" s="87"/>
      <c r="I48" s="87"/>
      <c r="J48" s="87"/>
      <c r="K48" s="87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7"/>
      <c r="W48" s="87"/>
      <c r="X48" s="87"/>
      <c r="Y48" s="86"/>
      <c r="Z48" s="61"/>
    </row>
    <row r="49" ht="37.5" customHeight="1">
      <c r="A49" s="90"/>
      <c r="B49" s="86"/>
      <c r="C49" s="86"/>
      <c r="D49" s="86"/>
      <c r="E49" s="87"/>
      <c r="F49" s="88"/>
      <c r="G49" s="87"/>
      <c r="H49" s="87"/>
      <c r="I49" s="87"/>
      <c r="J49" s="87"/>
      <c r="K49" s="87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7"/>
      <c r="W49" s="87"/>
      <c r="X49" s="87"/>
      <c r="Y49" s="86"/>
      <c r="Z49" s="61"/>
    </row>
    <row r="50" ht="37.5" customHeight="1">
      <c r="A50" s="90"/>
      <c r="B50" s="86"/>
      <c r="C50" s="86"/>
      <c r="D50" s="86"/>
      <c r="E50" s="87"/>
      <c r="F50" s="88"/>
      <c r="G50" s="87"/>
      <c r="H50" s="87"/>
      <c r="I50" s="87"/>
      <c r="J50" s="87"/>
      <c r="K50" s="87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7"/>
      <c r="W50" s="87"/>
      <c r="X50" s="87"/>
      <c r="Y50" s="86"/>
      <c r="Z50" s="61"/>
    </row>
    <row r="51" ht="37.5" customHeight="1">
      <c r="A51" s="90"/>
      <c r="B51" s="86"/>
      <c r="C51" s="86"/>
      <c r="D51" s="86"/>
      <c r="E51" s="87"/>
      <c r="F51" s="88"/>
      <c r="G51" s="87"/>
      <c r="H51" s="87"/>
      <c r="I51" s="87"/>
      <c r="J51" s="87"/>
      <c r="K51" s="87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7"/>
      <c r="W51" s="87"/>
      <c r="X51" s="87"/>
      <c r="Y51" s="86"/>
      <c r="Z51" s="61"/>
    </row>
    <row r="52" ht="37.5" customHeight="1">
      <c r="A52" s="90"/>
      <c r="B52" s="86"/>
      <c r="C52" s="86"/>
      <c r="D52" s="86"/>
      <c r="E52" s="87"/>
      <c r="F52" s="88"/>
      <c r="G52" s="87"/>
      <c r="H52" s="87"/>
      <c r="I52" s="87"/>
      <c r="J52" s="87"/>
      <c r="K52" s="87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7"/>
      <c r="W52" s="87"/>
      <c r="X52" s="87"/>
      <c r="Y52" s="86"/>
      <c r="Z52" s="61"/>
    </row>
    <row r="53" ht="37.5" customHeight="1">
      <c r="A53" s="90"/>
      <c r="B53" s="86"/>
      <c r="C53" s="86"/>
      <c r="D53" s="86"/>
      <c r="E53" s="87"/>
      <c r="F53" s="88"/>
      <c r="G53" s="87"/>
      <c r="H53" s="87"/>
      <c r="I53" s="87"/>
      <c r="J53" s="87"/>
      <c r="K53" s="87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7"/>
      <c r="W53" s="87"/>
      <c r="X53" s="87"/>
      <c r="Y53" s="86"/>
      <c r="Z53" s="61"/>
    </row>
    <row r="54" ht="37.5" customHeight="1">
      <c r="A54" s="90"/>
      <c r="B54" s="86"/>
      <c r="C54" s="86"/>
      <c r="D54" s="86"/>
      <c r="E54" s="87"/>
      <c r="F54" s="88"/>
      <c r="G54" s="87"/>
      <c r="H54" s="87"/>
      <c r="I54" s="87"/>
      <c r="J54" s="87"/>
      <c r="K54" s="87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7"/>
      <c r="W54" s="87"/>
      <c r="X54" s="87"/>
      <c r="Y54" s="86"/>
      <c r="Z54" s="61"/>
    </row>
    <row r="55" ht="37.5" customHeight="1">
      <c r="A55" s="90"/>
      <c r="B55" s="86"/>
      <c r="C55" s="86"/>
      <c r="D55" s="86"/>
      <c r="E55" s="87"/>
      <c r="F55" s="88"/>
      <c r="G55" s="87"/>
      <c r="H55" s="87"/>
      <c r="I55" s="87"/>
      <c r="J55" s="87"/>
      <c r="K55" s="87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7"/>
      <c r="W55" s="87"/>
      <c r="X55" s="87"/>
      <c r="Y55" s="86"/>
      <c r="Z55" s="61"/>
    </row>
    <row r="56" ht="37.5" customHeight="1">
      <c r="A56" s="90"/>
      <c r="B56" s="86"/>
      <c r="C56" s="86"/>
      <c r="D56" s="86"/>
      <c r="E56" s="87"/>
      <c r="F56" s="88"/>
      <c r="G56" s="87"/>
      <c r="H56" s="87"/>
      <c r="I56" s="87"/>
      <c r="J56" s="87"/>
      <c r="K56" s="87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7"/>
      <c r="W56" s="87"/>
      <c r="X56" s="87"/>
      <c r="Y56" s="86"/>
      <c r="Z56" s="61"/>
    </row>
    <row r="57" ht="37.5" customHeight="1">
      <c r="A57" s="90"/>
      <c r="B57" s="86"/>
      <c r="C57" s="86"/>
      <c r="D57" s="86"/>
      <c r="E57" s="87"/>
      <c r="F57" s="88"/>
      <c r="G57" s="87"/>
      <c r="H57" s="87"/>
      <c r="I57" s="87"/>
      <c r="J57" s="87"/>
      <c r="K57" s="87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7"/>
      <c r="W57" s="87"/>
      <c r="X57" s="87"/>
      <c r="Y57" s="86"/>
      <c r="Z57" s="61"/>
    </row>
    <row r="58" ht="37.5" customHeight="1">
      <c r="A58" s="90"/>
      <c r="B58" s="86"/>
      <c r="C58" s="86"/>
      <c r="D58" s="86"/>
      <c r="E58" s="87"/>
      <c r="F58" s="88"/>
      <c r="G58" s="87"/>
      <c r="H58" s="87"/>
      <c r="I58" s="87"/>
      <c r="J58" s="87"/>
      <c r="K58" s="87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7"/>
      <c r="W58" s="87"/>
      <c r="X58" s="87"/>
      <c r="Y58" s="86"/>
      <c r="Z58" s="61"/>
    </row>
    <row r="59" ht="37.5" customHeight="1">
      <c r="A59" s="90"/>
      <c r="B59" s="86"/>
      <c r="C59" s="86"/>
      <c r="D59" s="86"/>
      <c r="E59" s="87"/>
      <c r="F59" s="88"/>
      <c r="G59" s="87"/>
      <c r="H59" s="87"/>
      <c r="I59" s="87"/>
      <c r="J59" s="87"/>
      <c r="K59" s="87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7"/>
      <c r="W59" s="87"/>
      <c r="X59" s="87"/>
      <c r="Y59" s="86"/>
      <c r="Z59" s="61"/>
    </row>
    <row r="60" ht="37.5" customHeight="1">
      <c r="A60" s="90"/>
      <c r="B60" s="86"/>
      <c r="C60" s="86"/>
      <c r="D60" s="86"/>
      <c r="E60" s="87"/>
      <c r="F60" s="88"/>
      <c r="G60" s="87"/>
      <c r="H60" s="87"/>
      <c r="I60" s="87"/>
      <c r="J60" s="87"/>
      <c r="K60" s="87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7"/>
      <c r="W60" s="87"/>
      <c r="X60" s="87"/>
      <c r="Y60" s="86"/>
      <c r="Z60" s="61"/>
    </row>
    <row r="61" ht="37.5" customHeight="1">
      <c r="A61" s="90"/>
      <c r="B61" s="86"/>
      <c r="C61" s="86"/>
      <c r="D61" s="86"/>
      <c r="E61" s="87"/>
      <c r="F61" s="88"/>
      <c r="G61" s="87"/>
      <c r="H61" s="87"/>
      <c r="I61" s="87"/>
      <c r="J61" s="87"/>
      <c r="K61" s="87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7"/>
      <c r="W61" s="87"/>
      <c r="X61" s="87"/>
      <c r="Y61" s="86"/>
      <c r="Z61" s="61"/>
    </row>
    <row r="62" ht="37.5" customHeight="1">
      <c r="A62" s="90"/>
      <c r="B62" s="86"/>
      <c r="C62" s="86"/>
      <c r="D62" s="86"/>
      <c r="E62" s="87"/>
      <c r="F62" s="88"/>
      <c r="G62" s="87"/>
      <c r="H62" s="87"/>
      <c r="I62" s="87"/>
      <c r="J62" s="87"/>
      <c r="K62" s="87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7"/>
      <c r="W62" s="87"/>
      <c r="X62" s="87"/>
      <c r="Y62" s="86"/>
      <c r="Z62" s="61"/>
    </row>
    <row r="63" ht="37.5" customHeight="1">
      <c r="A63" s="90"/>
      <c r="B63" s="86"/>
      <c r="C63" s="86"/>
      <c r="D63" s="86"/>
      <c r="E63" s="87"/>
      <c r="F63" s="88"/>
      <c r="G63" s="87"/>
      <c r="H63" s="87"/>
      <c r="I63" s="87"/>
      <c r="J63" s="87"/>
      <c r="K63" s="87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7"/>
      <c r="W63" s="87"/>
      <c r="X63" s="87"/>
      <c r="Y63" s="86"/>
      <c r="Z63" s="61"/>
    </row>
    <row r="64" ht="37.5" customHeight="1">
      <c r="A64" s="90"/>
      <c r="B64" s="86"/>
      <c r="C64" s="86"/>
      <c r="D64" s="86"/>
      <c r="E64" s="87"/>
      <c r="F64" s="88"/>
      <c r="G64" s="87"/>
      <c r="H64" s="87"/>
      <c r="I64" s="87"/>
      <c r="J64" s="87"/>
      <c r="K64" s="87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7"/>
      <c r="W64" s="87"/>
      <c r="X64" s="87"/>
      <c r="Y64" s="86"/>
      <c r="Z64" s="61"/>
    </row>
    <row r="65" ht="37.5" customHeight="1">
      <c r="A65" s="90"/>
      <c r="B65" s="86"/>
      <c r="C65" s="86"/>
      <c r="D65" s="86"/>
      <c r="E65" s="87"/>
      <c r="F65" s="88"/>
      <c r="G65" s="87"/>
      <c r="H65" s="87"/>
      <c r="I65" s="87"/>
      <c r="J65" s="87"/>
      <c r="K65" s="87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7"/>
      <c r="W65" s="87"/>
      <c r="X65" s="87"/>
      <c r="Y65" s="86"/>
      <c r="Z65" s="61"/>
    </row>
    <row r="66" ht="37.5" customHeight="1">
      <c r="A66" s="90"/>
      <c r="B66" s="86"/>
      <c r="C66" s="86"/>
      <c r="D66" s="86"/>
      <c r="E66" s="87"/>
      <c r="F66" s="88"/>
      <c r="G66" s="87"/>
      <c r="H66" s="87"/>
      <c r="I66" s="87"/>
      <c r="J66" s="87"/>
      <c r="K66" s="87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7"/>
      <c r="W66" s="87"/>
      <c r="X66" s="87"/>
      <c r="Y66" s="86"/>
      <c r="Z66" s="61"/>
    </row>
    <row r="67" ht="37.5" customHeight="1">
      <c r="A67" s="90"/>
      <c r="B67" s="86"/>
      <c r="C67" s="86"/>
      <c r="D67" s="86"/>
      <c r="E67" s="87"/>
      <c r="F67" s="88"/>
      <c r="G67" s="87"/>
      <c r="H67" s="87"/>
      <c r="I67" s="87"/>
      <c r="J67" s="87"/>
      <c r="K67" s="87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7"/>
      <c r="W67" s="87"/>
      <c r="X67" s="87"/>
      <c r="Y67" s="86"/>
      <c r="Z67" s="61"/>
    </row>
    <row r="68" ht="37.5" customHeight="1">
      <c r="A68" s="90"/>
      <c r="B68" s="86"/>
      <c r="C68" s="86"/>
      <c r="D68" s="86"/>
      <c r="E68" s="87"/>
      <c r="F68" s="88"/>
      <c r="G68" s="87"/>
      <c r="H68" s="87"/>
      <c r="I68" s="87"/>
      <c r="J68" s="87"/>
      <c r="K68" s="87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7"/>
      <c r="W68" s="87"/>
      <c r="X68" s="87"/>
      <c r="Y68" s="86"/>
      <c r="Z68" s="61"/>
    </row>
    <row r="69" ht="37.5" customHeight="1">
      <c r="A69" s="90"/>
      <c r="B69" s="86"/>
      <c r="C69" s="86"/>
      <c r="D69" s="86"/>
      <c r="E69" s="87"/>
      <c r="F69" s="88"/>
      <c r="G69" s="87"/>
      <c r="H69" s="87"/>
      <c r="I69" s="87"/>
      <c r="J69" s="87"/>
      <c r="K69" s="87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7"/>
      <c r="W69" s="87"/>
      <c r="X69" s="87"/>
      <c r="Y69" s="86"/>
      <c r="Z69" s="61"/>
    </row>
    <row r="70" ht="37.5" customHeight="1">
      <c r="A70" s="90"/>
      <c r="B70" s="86"/>
      <c r="C70" s="86"/>
      <c r="D70" s="86"/>
      <c r="E70" s="87"/>
      <c r="F70" s="88"/>
      <c r="G70" s="87"/>
      <c r="H70" s="87"/>
      <c r="I70" s="87"/>
      <c r="J70" s="87"/>
      <c r="K70" s="87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7"/>
      <c r="W70" s="87"/>
      <c r="X70" s="87"/>
      <c r="Y70" s="86"/>
      <c r="Z70" s="61"/>
    </row>
    <row r="71" ht="37.5" customHeight="1">
      <c r="A71" s="90"/>
      <c r="B71" s="86"/>
      <c r="C71" s="86"/>
      <c r="D71" s="86"/>
      <c r="E71" s="87"/>
      <c r="F71" s="88"/>
      <c r="G71" s="87"/>
      <c r="H71" s="87"/>
      <c r="I71" s="87"/>
      <c r="J71" s="87"/>
      <c r="K71" s="87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7"/>
      <c r="W71" s="87"/>
      <c r="X71" s="87"/>
      <c r="Y71" s="86"/>
      <c r="Z71" s="61"/>
    </row>
    <row r="72" ht="37.5" customHeight="1">
      <c r="A72" s="90"/>
      <c r="B72" s="86"/>
      <c r="C72" s="86"/>
      <c r="D72" s="86"/>
      <c r="E72" s="87"/>
      <c r="F72" s="88"/>
      <c r="G72" s="87"/>
      <c r="H72" s="87"/>
      <c r="I72" s="87"/>
      <c r="J72" s="87"/>
      <c r="K72" s="87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7"/>
      <c r="W72" s="87"/>
      <c r="X72" s="87"/>
      <c r="Y72" s="86"/>
      <c r="Z72" s="61"/>
    </row>
    <row r="73" ht="37.5" customHeight="1">
      <c r="A73" s="90"/>
      <c r="B73" s="86"/>
      <c r="C73" s="86"/>
      <c r="D73" s="86"/>
      <c r="E73" s="87"/>
      <c r="F73" s="88"/>
      <c r="G73" s="87"/>
      <c r="H73" s="87"/>
      <c r="I73" s="87"/>
      <c r="J73" s="87"/>
      <c r="K73" s="87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7"/>
      <c r="W73" s="87"/>
      <c r="X73" s="87"/>
      <c r="Y73" s="86"/>
      <c r="Z73" s="61"/>
    </row>
    <row r="74" ht="37.5" customHeight="1">
      <c r="A74" s="90"/>
      <c r="B74" s="86"/>
      <c r="C74" s="86"/>
      <c r="D74" s="86"/>
      <c r="E74" s="87"/>
      <c r="F74" s="88"/>
      <c r="G74" s="87"/>
      <c r="H74" s="87"/>
      <c r="I74" s="87"/>
      <c r="J74" s="87"/>
      <c r="K74" s="87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7"/>
      <c r="W74" s="87"/>
      <c r="X74" s="87"/>
      <c r="Y74" s="86"/>
      <c r="Z74" s="61"/>
    </row>
    <row r="75" ht="37.5" customHeight="1">
      <c r="A75" s="90"/>
      <c r="B75" s="86"/>
      <c r="C75" s="86"/>
      <c r="D75" s="86"/>
      <c r="E75" s="87"/>
      <c r="F75" s="88"/>
      <c r="G75" s="87"/>
      <c r="H75" s="87"/>
      <c r="I75" s="87"/>
      <c r="J75" s="87"/>
      <c r="K75" s="87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7"/>
      <c r="W75" s="87"/>
      <c r="X75" s="87"/>
      <c r="Y75" s="86"/>
      <c r="Z75" s="61"/>
    </row>
    <row r="76" ht="37.5" customHeight="1">
      <c r="A76" s="90"/>
      <c r="B76" s="86"/>
      <c r="C76" s="86"/>
      <c r="D76" s="86"/>
      <c r="E76" s="87"/>
      <c r="F76" s="88"/>
      <c r="G76" s="87"/>
      <c r="H76" s="87"/>
      <c r="I76" s="87"/>
      <c r="J76" s="87"/>
      <c r="K76" s="87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7"/>
      <c r="W76" s="87"/>
      <c r="X76" s="87"/>
      <c r="Y76" s="86"/>
      <c r="Z76" s="61"/>
    </row>
    <row r="77" ht="37.5" customHeight="1">
      <c r="A77" s="90"/>
      <c r="B77" s="86"/>
      <c r="C77" s="86"/>
      <c r="D77" s="86"/>
      <c r="E77" s="87"/>
      <c r="F77" s="88"/>
      <c r="G77" s="87"/>
      <c r="H77" s="87"/>
      <c r="I77" s="87"/>
      <c r="J77" s="87"/>
      <c r="K77" s="87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7"/>
      <c r="W77" s="87"/>
      <c r="X77" s="87"/>
      <c r="Y77" s="86"/>
      <c r="Z77" s="61"/>
    </row>
    <row r="78" ht="37.5" customHeight="1">
      <c r="A78" s="90"/>
      <c r="B78" s="86"/>
      <c r="C78" s="86"/>
      <c r="D78" s="86"/>
      <c r="E78" s="87"/>
      <c r="F78" s="88"/>
      <c r="G78" s="87"/>
      <c r="H78" s="87"/>
      <c r="I78" s="87"/>
      <c r="J78" s="87"/>
      <c r="K78" s="87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7"/>
      <c r="W78" s="87"/>
      <c r="X78" s="87"/>
      <c r="Y78" s="86"/>
      <c r="Z78" s="61"/>
    </row>
    <row r="79" ht="37.5" customHeight="1">
      <c r="A79" s="90"/>
      <c r="B79" s="86"/>
      <c r="C79" s="86"/>
      <c r="D79" s="86"/>
      <c r="E79" s="87"/>
      <c r="F79" s="88"/>
      <c r="G79" s="87"/>
      <c r="H79" s="87"/>
      <c r="I79" s="87"/>
      <c r="J79" s="87"/>
      <c r="K79" s="87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7"/>
      <c r="W79" s="87"/>
      <c r="X79" s="87"/>
      <c r="Y79" s="86"/>
      <c r="Z79" s="61"/>
    </row>
    <row r="80" ht="37.5" customHeight="1">
      <c r="A80" s="90"/>
      <c r="B80" s="86"/>
      <c r="C80" s="86"/>
      <c r="D80" s="86"/>
      <c r="E80" s="87"/>
      <c r="F80" s="88"/>
      <c r="G80" s="87"/>
      <c r="H80" s="87"/>
      <c r="I80" s="87"/>
      <c r="J80" s="87"/>
      <c r="K80" s="87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7"/>
      <c r="W80" s="87"/>
      <c r="X80" s="87"/>
      <c r="Y80" s="86"/>
      <c r="Z80" s="61"/>
    </row>
    <row r="81" ht="37.5" customHeight="1">
      <c r="A81" s="90"/>
      <c r="B81" s="86"/>
      <c r="C81" s="86"/>
      <c r="D81" s="86"/>
      <c r="E81" s="87"/>
      <c r="F81" s="88"/>
      <c r="G81" s="87"/>
      <c r="H81" s="87"/>
      <c r="I81" s="87"/>
      <c r="J81" s="87"/>
      <c r="K81" s="87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7"/>
      <c r="W81" s="87"/>
      <c r="X81" s="87"/>
      <c r="Y81" s="86"/>
      <c r="Z81" s="61"/>
    </row>
    <row r="82" ht="37.5" customHeight="1">
      <c r="A82" s="90"/>
      <c r="B82" s="86"/>
      <c r="C82" s="86"/>
      <c r="D82" s="86"/>
      <c r="E82" s="87"/>
      <c r="F82" s="88"/>
      <c r="G82" s="87"/>
      <c r="H82" s="87"/>
      <c r="I82" s="87"/>
      <c r="J82" s="87"/>
      <c r="K82" s="87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7"/>
      <c r="W82" s="87"/>
      <c r="X82" s="87"/>
      <c r="Y82" s="86"/>
      <c r="Z82" s="61"/>
    </row>
    <row r="83" ht="37.5" customHeight="1">
      <c r="A83" s="90"/>
      <c r="B83" s="86"/>
      <c r="C83" s="86"/>
      <c r="D83" s="86"/>
      <c r="E83" s="87"/>
      <c r="F83" s="88"/>
      <c r="G83" s="87"/>
      <c r="H83" s="87"/>
      <c r="I83" s="87"/>
      <c r="J83" s="87"/>
      <c r="K83" s="87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7"/>
      <c r="W83" s="87"/>
      <c r="X83" s="87"/>
      <c r="Y83" s="86"/>
      <c r="Z83" s="61"/>
    </row>
    <row r="84" ht="37.5" customHeight="1">
      <c r="A84" s="90"/>
      <c r="B84" s="86"/>
      <c r="C84" s="86"/>
      <c r="D84" s="86"/>
      <c r="E84" s="87"/>
      <c r="F84" s="88"/>
      <c r="G84" s="87"/>
      <c r="H84" s="87"/>
      <c r="I84" s="87"/>
      <c r="J84" s="87"/>
      <c r="K84" s="87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7"/>
      <c r="W84" s="87"/>
      <c r="X84" s="87"/>
      <c r="Y84" s="86"/>
      <c r="Z84" s="61"/>
    </row>
    <row r="85" ht="37.5" customHeight="1">
      <c r="A85" s="90"/>
      <c r="B85" s="86"/>
      <c r="C85" s="86"/>
      <c r="D85" s="86"/>
      <c r="E85" s="87"/>
      <c r="F85" s="88"/>
      <c r="G85" s="87"/>
      <c r="H85" s="87"/>
      <c r="I85" s="87"/>
      <c r="J85" s="87"/>
      <c r="K85" s="87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7"/>
      <c r="W85" s="87"/>
      <c r="X85" s="87"/>
      <c r="Y85" s="86"/>
      <c r="Z85" s="61"/>
    </row>
    <row r="86" ht="37.5" customHeight="1">
      <c r="A86" s="90"/>
      <c r="B86" s="86"/>
      <c r="C86" s="86"/>
      <c r="D86" s="86"/>
      <c r="E86" s="87"/>
      <c r="F86" s="88"/>
      <c r="G86" s="87"/>
      <c r="H86" s="87"/>
      <c r="I86" s="87"/>
      <c r="J86" s="87"/>
      <c r="K86" s="87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7"/>
      <c r="W86" s="87"/>
      <c r="X86" s="87"/>
      <c r="Y86" s="86"/>
      <c r="Z86" s="61"/>
    </row>
    <row r="87" ht="37.5" customHeight="1">
      <c r="A87" s="90"/>
      <c r="B87" s="86"/>
      <c r="C87" s="86"/>
      <c r="D87" s="86"/>
      <c r="E87" s="87"/>
      <c r="F87" s="88"/>
      <c r="G87" s="87"/>
      <c r="H87" s="87"/>
      <c r="I87" s="87"/>
      <c r="J87" s="87"/>
      <c r="K87" s="87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7"/>
      <c r="W87" s="87"/>
      <c r="X87" s="87"/>
      <c r="Y87" s="86"/>
      <c r="Z87" s="61"/>
    </row>
    <row r="88" ht="37.5" customHeight="1">
      <c r="A88" s="90"/>
      <c r="B88" s="86"/>
      <c r="C88" s="86"/>
      <c r="D88" s="86"/>
      <c r="E88" s="87"/>
      <c r="F88" s="88"/>
      <c r="G88" s="87"/>
      <c r="H88" s="87"/>
      <c r="I88" s="87"/>
      <c r="J88" s="87"/>
      <c r="K88" s="87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7"/>
      <c r="W88" s="87"/>
      <c r="X88" s="87"/>
      <c r="Y88" s="86"/>
      <c r="Z88" s="61"/>
    </row>
    <row r="89" ht="37.5" customHeight="1">
      <c r="A89" s="90"/>
      <c r="B89" s="86"/>
      <c r="C89" s="86"/>
      <c r="D89" s="86"/>
      <c r="E89" s="87"/>
      <c r="F89" s="88"/>
      <c r="G89" s="87"/>
      <c r="H89" s="87"/>
      <c r="I89" s="87"/>
      <c r="J89" s="87"/>
      <c r="K89" s="87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7"/>
      <c r="W89" s="87"/>
      <c r="X89" s="87"/>
      <c r="Y89" s="86"/>
      <c r="Z89" s="61"/>
    </row>
    <row r="90" ht="37.5" customHeight="1">
      <c r="A90" s="90"/>
      <c r="B90" s="86"/>
      <c r="C90" s="86"/>
      <c r="D90" s="86"/>
      <c r="E90" s="87"/>
      <c r="F90" s="88"/>
      <c r="G90" s="87"/>
      <c r="H90" s="87"/>
      <c r="I90" s="87"/>
      <c r="J90" s="87"/>
      <c r="K90" s="87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7"/>
      <c r="W90" s="87"/>
      <c r="X90" s="87"/>
      <c r="Y90" s="86"/>
      <c r="Z90" s="61"/>
    </row>
    <row r="91" ht="37.5" customHeight="1">
      <c r="A91" s="90"/>
      <c r="B91" s="86"/>
      <c r="C91" s="86"/>
      <c r="D91" s="86"/>
      <c r="E91" s="87"/>
      <c r="F91" s="88"/>
      <c r="G91" s="87"/>
      <c r="H91" s="87"/>
      <c r="I91" s="87"/>
      <c r="J91" s="87"/>
      <c r="K91" s="87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7"/>
      <c r="W91" s="87"/>
      <c r="X91" s="87"/>
      <c r="Y91" s="86"/>
      <c r="Z91" s="61"/>
    </row>
    <row r="92" ht="37.5" customHeight="1">
      <c r="A92" s="90"/>
      <c r="B92" s="86"/>
      <c r="C92" s="86"/>
      <c r="D92" s="86"/>
      <c r="E92" s="87"/>
      <c r="F92" s="88"/>
      <c r="G92" s="87"/>
      <c r="H92" s="87"/>
      <c r="I92" s="87"/>
      <c r="J92" s="87"/>
      <c r="K92" s="87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7"/>
      <c r="W92" s="87"/>
      <c r="X92" s="87"/>
      <c r="Y92" s="86"/>
      <c r="Z92" s="61"/>
    </row>
    <row r="93" ht="37.5" customHeight="1">
      <c r="A93" s="90"/>
      <c r="B93" s="86"/>
      <c r="C93" s="86"/>
      <c r="D93" s="86"/>
      <c r="E93" s="87"/>
      <c r="F93" s="88"/>
      <c r="G93" s="87"/>
      <c r="H93" s="87"/>
      <c r="I93" s="87"/>
      <c r="J93" s="87"/>
      <c r="K93" s="87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7"/>
      <c r="W93" s="87"/>
      <c r="X93" s="87"/>
      <c r="Y93" s="86"/>
      <c r="Z93" s="61"/>
    </row>
    <row r="94" ht="37.5" customHeight="1">
      <c r="A94" s="90"/>
      <c r="B94" s="86"/>
      <c r="C94" s="86"/>
      <c r="D94" s="86"/>
      <c r="E94" s="87"/>
      <c r="F94" s="88"/>
      <c r="G94" s="87"/>
      <c r="H94" s="87"/>
      <c r="I94" s="87"/>
      <c r="J94" s="87"/>
      <c r="K94" s="87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7"/>
      <c r="W94" s="87"/>
      <c r="X94" s="87"/>
      <c r="Y94" s="86"/>
      <c r="Z94" s="61"/>
    </row>
    <row r="95" ht="37.5" customHeight="1">
      <c r="A95" s="90"/>
      <c r="B95" s="86"/>
      <c r="C95" s="86"/>
      <c r="D95" s="86"/>
      <c r="E95" s="87"/>
      <c r="F95" s="88"/>
      <c r="G95" s="87"/>
      <c r="H95" s="87"/>
      <c r="I95" s="87"/>
      <c r="J95" s="87"/>
      <c r="K95" s="87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7"/>
      <c r="W95" s="87"/>
      <c r="X95" s="87"/>
      <c r="Y95" s="86"/>
      <c r="Z95" s="61"/>
    </row>
    <row r="96" ht="37.5" customHeight="1">
      <c r="A96" s="90"/>
      <c r="B96" s="86"/>
      <c r="C96" s="86"/>
      <c r="D96" s="86"/>
      <c r="E96" s="87"/>
      <c r="F96" s="88"/>
      <c r="G96" s="87"/>
      <c r="H96" s="87"/>
      <c r="I96" s="87"/>
      <c r="J96" s="87"/>
      <c r="K96" s="87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7"/>
      <c r="W96" s="87"/>
      <c r="X96" s="87"/>
      <c r="Y96" s="86"/>
      <c r="Z96" s="61"/>
    </row>
    <row r="97" ht="37.5" customHeight="1">
      <c r="A97" s="90"/>
      <c r="B97" s="86"/>
      <c r="C97" s="86"/>
      <c r="D97" s="86"/>
      <c r="E97" s="87"/>
      <c r="F97" s="88"/>
      <c r="G97" s="87"/>
      <c r="H97" s="87"/>
      <c r="I97" s="87"/>
      <c r="J97" s="87"/>
      <c r="K97" s="87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7"/>
      <c r="W97" s="87"/>
      <c r="X97" s="87"/>
      <c r="Y97" s="86"/>
      <c r="Z97" s="61"/>
    </row>
    <row r="98" ht="37.5" customHeight="1">
      <c r="A98" s="90"/>
      <c r="B98" s="86"/>
      <c r="C98" s="86"/>
      <c r="D98" s="86"/>
      <c r="E98" s="87"/>
      <c r="F98" s="88"/>
      <c r="G98" s="87"/>
      <c r="H98" s="87"/>
      <c r="I98" s="87"/>
      <c r="J98" s="87"/>
      <c r="K98" s="87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7"/>
      <c r="W98" s="87"/>
      <c r="X98" s="87"/>
      <c r="Y98" s="86"/>
      <c r="Z98" s="61"/>
    </row>
    <row r="99" ht="37.5" customHeight="1">
      <c r="A99" s="90"/>
      <c r="B99" s="86"/>
      <c r="C99" s="86"/>
      <c r="D99" s="86"/>
      <c r="E99" s="87"/>
      <c r="F99" s="88"/>
      <c r="G99" s="87"/>
      <c r="H99" s="87"/>
      <c r="I99" s="87"/>
      <c r="J99" s="87"/>
      <c r="K99" s="87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7"/>
      <c r="W99" s="87"/>
      <c r="X99" s="87"/>
      <c r="Y99" s="86"/>
      <c r="Z99" s="61"/>
    </row>
    <row r="100" ht="37.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37.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37.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37.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37.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37.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37.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37.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37.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37.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37.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37.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37.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37.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37.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37.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37.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37.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37.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37.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37.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37.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37.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37.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37.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37.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37.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37.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37.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37.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37.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37.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37.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37.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37.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37.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37.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37.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37.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37.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37.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37.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37.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37.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37.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37.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37.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37.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37.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37.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37.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37.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37.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37.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37.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37.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37.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37.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37.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37.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37.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37.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37.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37.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37.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37.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37.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37.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37.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37.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37.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37.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37.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37.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37.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37.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37.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37.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37.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37.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37.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37.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37.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37.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37.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37.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37.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37.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37.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37.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37.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37.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37.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37.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37.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37.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37.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37.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37.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37.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37.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37.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37.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37.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37.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37.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37.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37.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37.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37.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37.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37.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37.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37.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37.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37.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37.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37.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37.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37.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37.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Y1"/>
    <mergeCell ref="A2:Y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4" width="10.0"/>
    <col customWidth="1" min="5" max="5" width="44.0"/>
    <col customWidth="1" min="6" max="6" width="8.63"/>
    <col customWidth="1" min="7" max="10" width="15.0"/>
    <col customWidth="1" min="11" max="11" width="44.0"/>
    <col customWidth="1" min="12" max="26" width="8.63"/>
  </cols>
  <sheetData>
    <row r="1" ht="42.0" customHeight="1">
      <c r="A1" s="91" t="s">
        <v>151</v>
      </c>
      <c r="B1" s="2"/>
      <c r="C1" s="2"/>
      <c r="D1" s="2"/>
      <c r="E1" s="3"/>
      <c r="F1" s="92"/>
      <c r="G1" s="93" t="s">
        <v>152</v>
      </c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42.0" customHeight="1">
      <c r="A2" s="94" t="s">
        <v>3</v>
      </c>
      <c r="B2" s="94" t="s">
        <v>21</v>
      </c>
      <c r="C2" s="94" t="s">
        <v>24</v>
      </c>
      <c r="D2" s="94" t="s">
        <v>25</v>
      </c>
      <c r="E2" s="95" t="s">
        <v>16</v>
      </c>
      <c r="F2" s="92"/>
      <c r="G2" s="96" t="s">
        <v>143</v>
      </c>
      <c r="H2" s="96" t="s">
        <v>40</v>
      </c>
      <c r="I2" s="97">
        <v>3.67</v>
      </c>
      <c r="J2" s="97">
        <v>3.677</v>
      </c>
      <c r="K2" s="96" t="s">
        <v>153</v>
      </c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42.0" customHeight="1">
      <c r="A3" s="98" t="s">
        <v>154</v>
      </c>
      <c r="B3" s="99" t="s">
        <v>40</v>
      </c>
      <c r="C3" s="100">
        <v>3.665</v>
      </c>
      <c r="D3" s="100">
        <v>3.67</v>
      </c>
      <c r="E3" s="101" t="s">
        <v>153</v>
      </c>
      <c r="F3" s="92"/>
      <c r="G3" s="96" t="s">
        <v>143</v>
      </c>
      <c r="H3" s="96" t="s">
        <v>43</v>
      </c>
      <c r="I3" s="97">
        <v>3.66</v>
      </c>
      <c r="J3" s="97">
        <v>3.67</v>
      </c>
      <c r="K3" s="96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42.0" customHeight="1">
      <c r="A4" s="98" t="s">
        <v>154</v>
      </c>
      <c r="B4" s="99" t="s">
        <v>43</v>
      </c>
      <c r="C4" s="100">
        <v>3.665</v>
      </c>
      <c r="D4" s="100">
        <v>3.675</v>
      </c>
      <c r="E4" s="101"/>
      <c r="F4" s="92"/>
      <c r="G4" s="96" t="s">
        <v>143</v>
      </c>
      <c r="H4" s="96" t="s">
        <v>46</v>
      </c>
      <c r="I4" s="97">
        <v>3.677</v>
      </c>
      <c r="J4" s="97">
        <v>3.683</v>
      </c>
      <c r="K4" s="96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42.0" customHeight="1">
      <c r="A5" s="98" t="s">
        <v>154</v>
      </c>
      <c r="B5" s="99" t="s">
        <v>46</v>
      </c>
      <c r="C5" s="100">
        <v>3.679</v>
      </c>
      <c r="D5" s="100">
        <v>3.685</v>
      </c>
      <c r="E5" s="101"/>
      <c r="F5" s="92"/>
      <c r="G5" s="96" t="s">
        <v>143</v>
      </c>
      <c r="H5" s="96" t="s">
        <v>48</v>
      </c>
      <c r="I5" s="97">
        <v>3.675</v>
      </c>
      <c r="J5" s="97">
        <v>3.685</v>
      </c>
      <c r="K5" s="96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42.0" customHeight="1">
      <c r="A6" s="98" t="s">
        <v>154</v>
      </c>
      <c r="B6" s="99" t="s">
        <v>48</v>
      </c>
      <c r="C6" s="100" t="s">
        <v>155</v>
      </c>
      <c r="D6" s="100" t="s">
        <v>155</v>
      </c>
      <c r="E6" s="101"/>
      <c r="F6" s="92"/>
      <c r="G6" s="96" t="s">
        <v>143</v>
      </c>
      <c r="H6" s="96" t="s">
        <v>51</v>
      </c>
      <c r="I6" s="97">
        <v>3.67</v>
      </c>
      <c r="J6" s="97">
        <v>3.688</v>
      </c>
      <c r="K6" s="96" t="s">
        <v>156</v>
      </c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42.0" customHeight="1">
      <c r="A7" s="98" t="s">
        <v>154</v>
      </c>
      <c r="B7" s="99" t="s">
        <v>51</v>
      </c>
      <c r="C7" s="100" t="s">
        <v>155</v>
      </c>
      <c r="D7" s="100" t="s">
        <v>155</v>
      </c>
      <c r="E7" s="101" t="s">
        <v>156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42.0" customHeight="1">
      <c r="A8" s="92"/>
      <c r="B8" s="92"/>
      <c r="C8" s="92"/>
      <c r="D8" s="92"/>
      <c r="E8" s="92"/>
      <c r="F8" s="92"/>
      <c r="G8" s="92" t="s">
        <v>157</v>
      </c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42.0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42.0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42.0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42.0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42.0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42.0" customHeight="1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42.0" customHeight="1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42.0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42.0" customHeight="1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42.0" customHeight="1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42.0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42.0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42.0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42.0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42.0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42.0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42.0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42.0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42.0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42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42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42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42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42.0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42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42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42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42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42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42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42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42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42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42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42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42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42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42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42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42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4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42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42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42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42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42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42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42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42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42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42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42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42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42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42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42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42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42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42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42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42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42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42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42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42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42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42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42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42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42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42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42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42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42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42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42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42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42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42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42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42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42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42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42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42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42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42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42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42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42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42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42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42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42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42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42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42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42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42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42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42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42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42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42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42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42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42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42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42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42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42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42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42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42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42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42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42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42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42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42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42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42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42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42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42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42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42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42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42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42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42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42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42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42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42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42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42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42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42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42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42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42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42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42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42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42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42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42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42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42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42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42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42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42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42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42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42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42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42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42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42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42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42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42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42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42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42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42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42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42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42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42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42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42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42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42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42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42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42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42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42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42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42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42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42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42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42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42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42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42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42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42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42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42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42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42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42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42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42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42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42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42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42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42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42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42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42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42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42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42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42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42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42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42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42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42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42.0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42.0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42.0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42.0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42.0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42.0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42.0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42.0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42.0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42.0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42.0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42.0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42.0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42.0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42.0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42.0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42.0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42.0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42.0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42.0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42.0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42.0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42.0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42.0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42.0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42.0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42.0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42.0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42.0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42.0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42.0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42.0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42.0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42.0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42.0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42.0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42.0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42.0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42.0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42.0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42.0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42.0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42.0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42.0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42.0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42.0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42.0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42.0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42.0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42.0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42.0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42.0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42.0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42.0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42.0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42.0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42.0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42.0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42.0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42.0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42.0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42.0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42.0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42.0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42.0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42.0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42.0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42.0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42.0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42.0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42.0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42.0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42.0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42.0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42.0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42.0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42.0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42.0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42.0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42.0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42.0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42.0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42.0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42.0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42.0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42.0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42.0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42.0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42.0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42.0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42.0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42.0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42.0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42.0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42.0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42.0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42.0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42.0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42.0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42.0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42.0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42.0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42.0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42.0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42.0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42.0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42.0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42.0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42.0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42.0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42.0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42.0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42.0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42.0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42.0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42.0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42.0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42.0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42.0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42.0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42.0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42.0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42.0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42.0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42.0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42.0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42.0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42.0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42.0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42.0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42.0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42.0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42.0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42.0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42.0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42.0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42.0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42.0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42.0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42.0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42.0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42.0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42.0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42.0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42.0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42.0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42.0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42.0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42.0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42.0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42.0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42.0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42.0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42.0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42.0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42.0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42.0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42.0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42.0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42.0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42.0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42.0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42.0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42.0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42.0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42.0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42.0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42.0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42.0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42.0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42.0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42.0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42.0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42.0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42.0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42.0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42.0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42.0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42.0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42.0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42.0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42.0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42.0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42.0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42.0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42.0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42.0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42.0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42.0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42.0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42.0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42.0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42.0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42.0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42.0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42.0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42.0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42.0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42.0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42.0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42.0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42.0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42.0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42.0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42.0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42.0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42.0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42.0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42.0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42.0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42.0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42.0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42.0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42.0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42.0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42.0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42.0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42.0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42.0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42.0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42.0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42.0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42.0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42.0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42.0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42.0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42.0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42.0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42.0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42.0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42.0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42.0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42.0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42.0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42.0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42.0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42.0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42.0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42.0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42.0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42.0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42.0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42.0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42.0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42.0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42.0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42.0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42.0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42.0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42.0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42.0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42.0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42.0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42.0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42.0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42.0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42.0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42.0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42.0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42.0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42.0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42.0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42.0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42.0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42.0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42.0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42.0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42.0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42.0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42.0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42.0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42.0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42.0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42.0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42.0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42.0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42.0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42.0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42.0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42.0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42.0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42.0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42.0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42.0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42.0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42.0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42.0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42.0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42.0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42.0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42.0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42.0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42.0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42.0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42.0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42.0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42.0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42.0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42.0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42.0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42.0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42.0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42.0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42.0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42.0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42.0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42.0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42.0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42.0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42.0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42.0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42.0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42.0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42.0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42.0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42.0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42.0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42.0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42.0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42.0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42.0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42.0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42.0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42.0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42.0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42.0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42.0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42.0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42.0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42.0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42.0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42.0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42.0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42.0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42.0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42.0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42.0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42.0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42.0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42.0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42.0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42.0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42.0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42.0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42.0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42.0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42.0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42.0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42.0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42.0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42.0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42.0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42.0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42.0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42.0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42.0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42.0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42.0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42.0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42.0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42.0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42.0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42.0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42.0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42.0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42.0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42.0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42.0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42.0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42.0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42.0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42.0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42.0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42.0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42.0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42.0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42.0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42.0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42.0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42.0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42.0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42.0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42.0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42.0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42.0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42.0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42.0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42.0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42.0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42.0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42.0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42.0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42.0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42.0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42.0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42.0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42.0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42.0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42.0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42.0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42.0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42.0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42.0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42.0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42.0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42.0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42.0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42.0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42.0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42.0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42.0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42.0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42.0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42.0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42.0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42.0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42.0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42.0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42.0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42.0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42.0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42.0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42.0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42.0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42.0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42.0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42.0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42.0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42.0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42.0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42.0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42.0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42.0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42.0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42.0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42.0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42.0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42.0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42.0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42.0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42.0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42.0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42.0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42.0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42.0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42.0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42.0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42.0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42.0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42.0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42.0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42.0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42.0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42.0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42.0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42.0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42.0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42.0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42.0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42.0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42.0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42.0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42.0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42.0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42.0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42.0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42.0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42.0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42.0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42.0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42.0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42.0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42.0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42.0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42.0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42.0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42.0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42.0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42.0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42.0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42.0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42.0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42.0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42.0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42.0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42.0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42.0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42.0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42.0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42.0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42.0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42.0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42.0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42.0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42.0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42.0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42.0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42.0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42.0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42.0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42.0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42.0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42.0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42.0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42.0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42.0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42.0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42.0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42.0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42.0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42.0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42.0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42.0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42.0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42.0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42.0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42.0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42.0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42.0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42.0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42.0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42.0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42.0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42.0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42.0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42.0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42.0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42.0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42.0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42.0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42.0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42.0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42.0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42.0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42.0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42.0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42.0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42.0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42.0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42.0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42.0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42.0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42.0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42.0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42.0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42.0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42.0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42.0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42.0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42.0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42.0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42.0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42.0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42.0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42.0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42.0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42.0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42.0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42.0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42.0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42.0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42.0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42.0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42.0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42.0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42.0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42.0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42.0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42.0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42.0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42.0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42.0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42.0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42.0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42.0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42.0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42.0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42.0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42.0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42.0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42.0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42.0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42.0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42.0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42.0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42.0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42.0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42.0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42.0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42.0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42.0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42.0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42.0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42.0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42.0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42.0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42.0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42.0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42.0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42.0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42.0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42.0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42.0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42.0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42.0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42.0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42.0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42.0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42.0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42.0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42.0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42.0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42.0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42.0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42.0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42.0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42.0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42.0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42.0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42.0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42.0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42.0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42.0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42.0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42.0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42.0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42.0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42.0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42.0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42.0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42.0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42.0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42.0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42.0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42.0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42.0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42.0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42.0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42.0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42.0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42.0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42.0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42.0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42.0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42.0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42.0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42.0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42.0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42.0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42.0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42.0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42.0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42.0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42.0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42.0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42.0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42.0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42.0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42.0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42.0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42.0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42.0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42.0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42.0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42.0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42.0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42.0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42.0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42.0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42.0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42.0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42.0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42.0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42.0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42.0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42.0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42.0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42.0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42.0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42.0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42.0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42.0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42.0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42.0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42.0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42.0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42.0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42.0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42.0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42.0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42.0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42.0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42.0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42.0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42.0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42.0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42.0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42.0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42.0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42.0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42.0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42.0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42.0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42.0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42.0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42.0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42.0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42.0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42.0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42.0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42.0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42.0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42.0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42.0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42.0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42.0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42.0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42.0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42.0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42.0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42.0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42.0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42.0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42.0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42.0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42.0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42.0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42.0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42.0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42.0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42.0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42.0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42.0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42.0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42.0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42.0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42.0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42.0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42.0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42.0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42.0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42.0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42.0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42.0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42.0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42.0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42.0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42.0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42.0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42.0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42.0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42.0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42.0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42.0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42.0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42.0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42.0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42.0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42.0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42.0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42.0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42.0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42.0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42.0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42.0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42.0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42.0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42.0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42.0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42.0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42.0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42.0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42.0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42.0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</sheetData>
  <mergeCells count="3">
    <mergeCell ref="A1:E1"/>
    <mergeCell ref="G1:K1"/>
    <mergeCell ref="G8:K8"/>
  </mergeCells>
  <dataValidations>
    <dataValidation type="list" allowBlank="1" sqref="B3:B7">
      <formula1>"Tether,Tehran,Istanbul,Sulaymaniyah,Dubai"</formula1>
    </dataValidation>
  </dataValidations>
  <printOptions/>
  <pageMargins bottom="0.75" footer="0.0" header="0.0" left="0.7" right="0.7" top="0.75"/>
  <pageSetup orientation="landscape"/>
  <drawing r:id="rId1"/>
</worksheet>
</file>